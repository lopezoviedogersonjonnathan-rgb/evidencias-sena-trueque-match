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Sandra\Desktop\SENA OFICIAL\(1) Fases\(2) Fase de analisis\Alcances\Material ficha de costos\"/>
    </mc:Choice>
  </mc:AlternateContent>
  <xr:revisionPtr revIDLastSave="0" documentId="8_{0EB187DE-BE5A-4251-9ACA-5F5F5265698E}" xr6:coauthVersionLast="47" xr6:coauthVersionMax="47" xr10:uidLastSave="{00000000-0000-0000-0000-000000000000}"/>
  <bookViews>
    <workbookView xWindow="-108" yWindow="-108" windowWidth="23256" windowHeight="12576" xr2:uid="{1E5ABD9B-7BAE-4744-85E1-41FEE5C6BC6C}"/>
  </bookViews>
  <sheets>
    <sheet name="Hoja1" sheetId="1" r:id="rId1"/>
  </sheets>
  <calcPr calcId="191029"/>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6" i="1" l="1"/>
  <c r="H58" i="1" s="1"/>
</calcChain>
</file>

<file path=xl/sharedStrings.xml><?xml version="1.0" encoding="utf-8"?>
<sst xmlns="http://schemas.openxmlformats.org/spreadsheetml/2006/main" count="147" uniqueCount="94">
  <si>
    <t>Ficha tecnica Hardware</t>
  </si>
  <si>
    <t>Dispositivo</t>
  </si>
  <si>
    <t xml:space="preserve">Servidor </t>
  </si>
  <si>
    <t>Proyecto</t>
  </si>
  <si>
    <t>Caracteristicas fisicas (Hardware)</t>
  </si>
  <si>
    <t>Nombre del proyecto</t>
  </si>
  <si>
    <t>Item</t>
  </si>
  <si>
    <t>Cantidad</t>
  </si>
  <si>
    <t>Componente</t>
  </si>
  <si>
    <t>Descripción</t>
  </si>
  <si>
    <t>Monitor</t>
  </si>
  <si>
    <t>16" o superior - Resolución de pantalla 1024 x 768</t>
  </si>
  <si>
    <t>CPU</t>
  </si>
  <si>
    <t>Teclado</t>
  </si>
  <si>
    <t xml:space="preserve">Basico </t>
  </si>
  <si>
    <t>RAM</t>
  </si>
  <si>
    <t>12GB</t>
  </si>
  <si>
    <t xml:space="preserve">Cliente </t>
  </si>
  <si>
    <t>Procesador Core I7 o superior</t>
  </si>
  <si>
    <t>8GB</t>
  </si>
  <si>
    <t>Ficha tecnica Software</t>
  </si>
  <si>
    <t>Caracteristicas fisicas (Software)</t>
  </si>
  <si>
    <t>Licencia propietario</t>
  </si>
  <si>
    <t>Licencia Libre</t>
  </si>
  <si>
    <t>Costos directos</t>
  </si>
  <si>
    <t>Actividad</t>
  </si>
  <si>
    <t>Asesoria</t>
  </si>
  <si>
    <t>Analisis de desarrollo</t>
  </si>
  <si>
    <t>Desarrollo del software</t>
  </si>
  <si>
    <t>Licencia de desarrollo</t>
  </si>
  <si>
    <t>Capacitación</t>
  </si>
  <si>
    <t>Total</t>
  </si>
  <si>
    <t>Costos indirectos</t>
  </si>
  <si>
    <t>Internet</t>
  </si>
  <si>
    <t>TRUEQUE MATCH</t>
  </si>
  <si>
    <t>Portátil Acer Core i7</t>
  </si>
  <si>
    <t>16" o superior – Resolución 1024x768</t>
  </si>
  <si>
    <t>Procesador Core i9 o superior</t>
  </si>
  <si>
    <t>PostgreSQL</t>
  </si>
  <si>
    <t>Observaciones</t>
  </si>
  <si>
    <t>Sistema operativo Linux (Ubuntu)</t>
  </si>
  <si>
    <t>Node.js v18+</t>
  </si>
  <si>
    <t>Nginx</t>
  </si>
  <si>
    <t>GitHub (plan básico)</t>
  </si>
  <si>
    <t>Certificado SSL (Let’s Encrypt)</t>
  </si>
  <si>
    <t>Microsoft Office 365</t>
  </si>
  <si>
    <t>Linux Ubuntu</t>
  </si>
  <si>
    <t>Navegadores (Chrome, Firefox, Edge)</t>
  </si>
  <si>
    <t>App móvil TRUEQUE MATCH (beta)</t>
  </si>
  <si>
    <t>Equipo Principal de desarrollo</t>
  </si>
  <si>
    <t>Obserbaciones</t>
  </si>
  <si>
    <t>Requerido para alto rendimiento</t>
  </si>
  <si>
    <t>Entrada de datos estándar</t>
  </si>
  <si>
    <t>Mejora el desempeño en programación y pruebas</t>
  </si>
  <si>
    <t>Celulares Xiaomi</t>
  </si>
  <si>
    <t>Androit 8.0+, 3 GB RAM</t>
  </si>
  <si>
    <t>Celular Redmi 4.0 (2GB)</t>
  </si>
  <si>
    <t>Gama baja para puebas de compatibilidad</t>
  </si>
  <si>
    <t>Prar puebas de la app</t>
  </si>
  <si>
    <t>Para pruebas de la app</t>
  </si>
  <si>
    <t>representa que cualquier usuario necesita una pantalla adecuada para ver bien la aplicación (ya sea en un PC o en un celular moderno con buena resolución).</t>
  </si>
  <si>
    <t>significa que el dispositivo de prueba (PC o celular) debe tener memoria suficiente para navegar de forma fluida y no quedarse pegado.</t>
  </si>
  <si>
    <t>representa el método de entrada (el teclado en PC o el teclado táctil en celular).</t>
  </si>
  <si>
    <t>simboliza que el usuario debe tener un equipo con la capacidad suficiente para correr la app de prueba en un computador (aunque en la realidad, la mayoría lo haría en el celular)</t>
  </si>
  <si>
    <t>PC i3</t>
  </si>
  <si>
    <t>Procesador Core i3, 4 GB RAM</t>
  </si>
  <si>
    <t>Pruebas en navegadores web</t>
  </si>
  <si>
    <r>
      <t xml:space="preserve">Es un </t>
    </r>
    <r>
      <rPr>
        <b/>
        <sz val="11"/>
        <color theme="1"/>
        <rFont val="Calibri"/>
        <family val="2"/>
        <scheme val="minor"/>
      </rPr>
      <t>sistema operativo gratuito</t>
    </r>
    <r>
      <rPr>
        <sz val="11"/>
        <color theme="1"/>
        <rFont val="Calibri"/>
        <family val="2"/>
        <scheme val="minor"/>
      </rPr>
      <t xml:space="preserve"> (como Windows, pero libre). Es la “base” donde corre todo en un PC. Lo usamos para simular que cualquier persona podría probar la aplicación sin pagar licencias de Windows.</t>
    </r>
  </si>
  <si>
    <r>
      <t xml:space="preserve">Son los </t>
    </r>
    <r>
      <rPr>
        <b/>
        <sz val="11"/>
        <color theme="1"/>
        <rFont val="Calibri"/>
        <family val="2"/>
        <scheme val="minor"/>
      </rPr>
      <t>puentes de entrada</t>
    </r>
    <r>
      <rPr>
        <sz val="11"/>
        <color theme="1"/>
        <rFont val="Calibri"/>
        <family val="2"/>
        <scheme val="minor"/>
      </rPr>
      <t xml:space="preserve"> a la aplicación desde internet. Representan cómo los usuarios accederán a la app Trueque Match en versión web.</t>
    </r>
  </si>
  <si>
    <t>Instalación en celulares de prueba vía APK. Es la versión de prueba de la aplicación que se instala en celulares.Simula cómo el usuario común la descargaría e instalaría para empezar a hacer intercambios.</t>
  </si>
  <si>
    <r>
      <t xml:space="preserve">Un </t>
    </r>
    <r>
      <rPr>
        <b/>
        <sz val="11"/>
        <color theme="1"/>
        <rFont val="Calibri"/>
        <family val="2"/>
        <scheme val="minor"/>
      </rPr>
      <t>gran cuaderno digital</t>
    </r>
    <r>
      <rPr>
        <sz val="11"/>
        <color theme="1"/>
        <rFont val="Calibri"/>
        <family val="2"/>
        <scheme val="minor"/>
      </rPr>
      <t xml:space="preserve"> que guarda toda la información (usuarios, ofertas, intercambios). Es la base de datos de la aplicación.</t>
    </r>
  </si>
  <si>
    <r>
      <t xml:space="preserve">El </t>
    </r>
    <r>
      <rPr>
        <b/>
        <sz val="11"/>
        <color theme="1"/>
        <rFont val="Calibri"/>
        <family val="2"/>
        <scheme val="minor"/>
      </rPr>
      <t>piso gratuito</t>
    </r>
    <r>
      <rPr>
        <sz val="11"/>
        <color theme="1"/>
        <rFont val="Calibri"/>
        <family val="2"/>
        <scheme val="minor"/>
      </rPr>
      <t xml:space="preserve"> donde se monta todo el servidor. Es la plataforma base del sistema, sin costo.</t>
    </r>
  </si>
  <si>
    <r>
      <t xml:space="preserve">Un </t>
    </r>
    <r>
      <rPr>
        <b/>
        <sz val="11"/>
        <color theme="1"/>
        <rFont val="Calibri"/>
        <family val="2"/>
        <scheme val="minor"/>
      </rPr>
      <t>motor que ejecuta las órdenes</t>
    </r>
    <r>
      <rPr>
        <sz val="11"/>
        <color theme="1"/>
        <rFont val="Calibri"/>
        <family val="2"/>
        <scheme val="minor"/>
      </rPr>
      <t xml:space="preserve"> que los usuarios envían (ej: registrar usuario, aceptar trueque). Es el cerebro que procesa la lógica de la app.</t>
    </r>
  </si>
  <si>
    <r>
      <t xml:space="preserve">El </t>
    </r>
    <r>
      <rPr>
        <b/>
        <sz val="11"/>
        <color theme="1"/>
        <rFont val="Calibri"/>
        <family val="2"/>
        <scheme val="minor"/>
      </rPr>
      <t>portero del mercado</t>
    </r>
    <r>
      <rPr>
        <sz val="11"/>
        <color theme="1"/>
        <rFont val="Calibri"/>
        <family val="2"/>
        <scheme val="minor"/>
      </rPr>
      <t>: organiza a la gente que entra, evita aglomeraciones y redirige a donde deben ir. Sirve como servidor de pruebas y balanceador.</t>
    </r>
  </si>
  <si>
    <r>
      <t xml:space="preserve">El </t>
    </r>
    <r>
      <rPr>
        <b/>
        <sz val="11"/>
        <color theme="1"/>
        <rFont val="Calibri"/>
        <family val="2"/>
        <scheme val="minor"/>
      </rPr>
      <t>candado de seguridad</t>
    </r>
    <r>
      <rPr>
        <sz val="11"/>
        <color theme="1"/>
        <rFont val="Calibri"/>
        <family val="2"/>
        <scheme val="minor"/>
      </rPr>
      <t xml:space="preserve"> en la entrada del mercado. Protege los datos de usuarios (contraseñas, info personal).</t>
    </r>
  </si>
  <si>
    <r>
      <t xml:space="preserve">El </t>
    </r>
    <r>
      <rPr>
        <b/>
        <sz val="11"/>
        <color theme="1"/>
        <rFont val="Calibri"/>
        <family val="2"/>
        <scheme val="minor"/>
      </rPr>
      <t>kit de oficina</t>
    </r>
    <r>
      <rPr>
        <sz val="11"/>
        <color theme="1"/>
        <rFont val="Calibri"/>
        <family val="2"/>
        <scheme val="minor"/>
      </rPr>
      <t>: Word, Excel, PowerPoint. Nos sirve para documentar informes, costos, fichas técnicas y presentaciones.</t>
    </r>
  </si>
  <si>
    <t>Precio unitario</t>
  </si>
  <si>
    <t>Costo hora</t>
  </si>
  <si>
    <t>Total hora</t>
  </si>
  <si>
    <t>Costo total</t>
  </si>
  <si>
    <t>En nuestro caso no se paga, lo hacemos de forma autónoma.</t>
  </si>
  <si>
    <t>El análisis lo hacemos nosotros mismos.</t>
  </si>
  <si>
    <t>Valor referencial de la programación y pruebas.</t>
  </si>
  <si>
    <t>Usamos software libre (Linux, Node, PostgreSQL), por eso no hay gasto real.</t>
  </si>
  <si>
    <t>Nuestro aprendizaje proviene del SENA y recursos gratuitos.</t>
  </si>
  <si>
    <t>Observación</t>
  </si>
  <si>
    <t>Contamos con estos equipos que tienen en total ese valor estimado.</t>
  </si>
  <si>
    <r>
      <t xml:space="preserve">El </t>
    </r>
    <r>
      <rPr>
        <b/>
        <sz val="11"/>
        <color theme="1"/>
        <rFont val="Calibri"/>
        <family val="2"/>
        <scheme val="minor"/>
      </rPr>
      <t>kit de oficina</t>
    </r>
    <r>
      <rPr>
        <sz val="11"/>
        <color theme="1"/>
        <rFont val="Calibri"/>
        <family val="2"/>
        <scheme val="minor"/>
      </rPr>
      <t>: Word, Excel, PowerPoint.</t>
    </r>
  </si>
  <si>
    <r>
      <t xml:space="preserve">Nos sirve para </t>
    </r>
    <r>
      <rPr>
        <b/>
        <sz val="11"/>
        <color theme="1"/>
        <rFont val="Calibri"/>
        <family val="2"/>
        <scheme val="minor"/>
      </rPr>
      <t>documentar informes, costos, fichas técnicas y presentaciones</t>
    </r>
    <r>
      <rPr>
        <sz val="11"/>
        <color theme="1"/>
        <rFont val="Calibri"/>
        <family val="2"/>
        <scheme val="minor"/>
      </rPr>
      <t>.</t>
    </r>
  </si>
  <si>
    <t>Software servidor (paquete office)</t>
  </si>
  <si>
    <t>Licencia pagada para, documentar informes, costos, fichas técnicas y presentaciones.</t>
  </si>
  <si>
    <t>Hadware servidor (Portatil, celulares y procesador)</t>
  </si>
  <si>
    <t>Este es uhn valor mensual del servicio de internet</t>
  </si>
  <si>
    <r>
      <rPr>
        <sz val="12"/>
        <color rgb="FFFF0000"/>
        <rFont val="Times New Roman"/>
        <family val="1"/>
      </rPr>
      <t xml:space="preserve">Nota: </t>
    </r>
    <r>
      <rPr>
        <sz val="12"/>
        <color theme="1"/>
        <rFont val="Times New Roman"/>
        <family val="1"/>
      </rPr>
      <t xml:space="preserve">                                                                                                                                                                                                                                                                                                                                                         En el proyecto TRUEQUE MATCH no existe un cliente externo que nos esté contratando o pagando por el desarrollo.                                                                                                                                                                                                                                                                                                                El cliente somos nosotros mismos, porque la aplicación nace como una iniciativa propia, pensada para ofrecerse de manera gratuita al público en general.
Esto significa que:
• No estamos desarrollando para una empresa privada ni para un usuario específico.
•	Todo el trabajo, análisis, desarrollo y pruebas los hacemos nosotros como parte del proceso formativo y del compromiso con el proyecto.
•	Los costos que aparecen en la ficha no son cobros reales a un cliente, sino una forma de mostrar:
1.	Qué recursos utilizamos (hardware, software, servicios).
2.	Cuánto valdría este trabajo en el mercado si fuera un proyecto contratado (costos referenciales).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</si>
</sst>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12"/>
      <color theme="1"/>
      <name val="Calibri"/>
      <family val="2"/>
      <scheme val="minor"/>
    </font>
    <font>
      <sz val="12"/>
      <color theme="1"/>
      <name val="Times New Roman"/>
      <family val="1"/>
    </font>
    <font>
      <sz val="12"/>
      <color theme="1"/>
      <name val="Calibri"/>
      <family val="2"/>
      <scheme val="minor"/>
    </font>
    <font>
      <sz val="12"/>
      <color rgb="FFFF0000"/>
      <name val="Times New Roman"/>
      <family val="1"/>
    </font>
  </fonts>
  <fills count="4">
    <fill>
      <patternFill patternType="none"/>
    </fill>
    <fill>
      <patternFill patternType="gray125"/>
    </fill>
    <fill>
      <patternFill patternType="solid">
        <fgColor theme="5" tint="0.59999389629810485"/>
        <bgColor indexed="64"/>
      </patternFill>
    </fill>
    <fill>
      <patternFill patternType="solid">
        <fgColor theme="4"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3">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0" fontId="1" fillId="0" borderId="1" xfId="0" applyFont="1" applyBorder="1"/>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0" borderId="1" xfId="0" applyBorder="1" applyAlignment="1">
      <alignment vertical="center"/>
    </xf>
    <xf numFmtId="0" fontId="0" fillId="0" borderId="0" xfId="0" applyAlignment="1">
      <alignment horizontal="left" vertical="center"/>
    </xf>
    <xf numFmtId="0" fontId="1" fillId="2"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0" xfId="0" applyAlignment="1">
      <alignment horizontal="left" vertical="center" wrapText="1"/>
    </xf>
    <xf numFmtId="3" fontId="0" fillId="0" borderId="1" xfId="0" applyNumberFormat="1" applyBorder="1" applyAlignment="1">
      <alignment horizontal="right" vertical="center"/>
    </xf>
    <xf numFmtId="3" fontId="0" fillId="0" borderId="1" xfId="0" applyNumberForma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vertical="center"/>
    </xf>
    <xf numFmtId="0" fontId="3" fillId="0" borderId="4" xfId="0" applyFont="1" applyBorder="1" applyAlignment="1">
      <alignment horizontal="left" vertical="center" wrapText="1"/>
    </xf>
    <xf numFmtId="0" fontId="4" fillId="0" borderId="4" xfId="0" applyFont="1" applyBorder="1" applyAlignment="1">
      <alignment horizontal="left" vertical="center" wrapText="1"/>
    </xf>
    <xf numFmtId="0" fontId="0" fillId="0" borderId="1" xfId="0"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2" borderId="1" xfId="0" applyFont="1" applyFill="1" applyBorder="1" applyAlignment="1">
      <alignment horizontal="center"/>
    </xf>
    <xf numFmtId="0" fontId="0" fillId="3" borderId="1" xfId="0" applyFill="1" applyBorder="1" applyAlignment="1">
      <alignment horizont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1" fillId="2" borderId="1" xfId="0" applyFont="1" applyFill="1" applyBorder="1" applyAlignment="1">
      <alignment horizontal="center" vertical="center"/>
    </xf>
    <xf numFmtId="0" fontId="0" fillId="3" borderId="1" xfId="0" applyFill="1" applyBorder="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2" xfId="0" applyFont="1" applyFill="1" applyBorder="1" applyAlignment="1">
      <alignment horizontal="center" vertical="center"/>
    </xf>
    <xf numFmtId="0" fontId="1"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602C9-8C67-4A3B-9637-2C35B282C245}">
  <sheetPr>
    <pageSetUpPr autoPageBreaks="0"/>
  </sheetPr>
  <dimension ref="B1:I63"/>
  <sheetViews>
    <sheetView showGridLines="0" tabSelected="1" topLeftCell="B17" zoomScale="50" zoomScaleNormal="50" zoomScalePageLayoutView="56" workbookViewId="0">
      <selection activeCell="Q30" sqref="Q30"/>
    </sheetView>
  </sheetViews>
  <sheetFormatPr baseColWidth="10" defaultRowHeight="14.4"/>
  <cols>
    <col min="2" max="2" width="16.44140625" customWidth="1"/>
    <col min="4" max="4" width="35.88671875" style="8" customWidth="1"/>
    <col min="5" max="5" width="47.33203125" bestFit="1" customWidth="1"/>
    <col min="6" max="7" width="21.5546875" customWidth="1"/>
    <col min="8" max="8" width="82.5546875" style="11" customWidth="1"/>
    <col min="9" max="9" width="39.44140625" customWidth="1"/>
  </cols>
  <sheetData>
    <row r="1" spans="2:8" ht="162" customHeight="1">
      <c r="B1" s="20" t="s">
        <v>93</v>
      </c>
      <c r="C1" s="21"/>
      <c r="D1" s="21"/>
      <c r="E1" s="21"/>
      <c r="F1" s="21"/>
      <c r="G1" s="21"/>
      <c r="H1" s="21"/>
    </row>
    <row r="2" spans="2:8" s="8" customFormat="1" ht="30" customHeight="1">
      <c r="B2" s="27" t="s">
        <v>0</v>
      </c>
      <c r="C2" s="28"/>
      <c r="D2" s="28"/>
      <c r="E2" s="28"/>
      <c r="F2" s="28"/>
      <c r="G2" s="28"/>
      <c r="H2" s="29"/>
    </row>
    <row r="3" spans="2:8" s="8" customFormat="1" ht="30" customHeight="1">
      <c r="B3" s="18" t="s">
        <v>1</v>
      </c>
      <c r="C3" s="33" t="s">
        <v>2</v>
      </c>
      <c r="D3" s="34"/>
      <c r="E3" s="34"/>
      <c r="F3" s="34"/>
      <c r="G3" s="34"/>
      <c r="H3" s="35"/>
    </row>
    <row r="4" spans="2:8" s="8" customFormat="1" ht="30" customHeight="1">
      <c r="B4" s="18" t="s">
        <v>3</v>
      </c>
      <c r="C4" s="30" t="s">
        <v>34</v>
      </c>
      <c r="D4" s="31"/>
      <c r="E4" s="31"/>
      <c r="F4" s="31"/>
      <c r="G4" s="31"/>
      <c r="H4" s="32"/>
    </row>
    <row r="5" spans="2:8" ht="21.6" customHeight="1">
      <c r="B5" s="30" t="s">
        <v>4</v>
      </c>
      <c r="C5" s="31"/>
      <c r="D5" s="31"/>
      <c r="E5" s="31"/>
      <c r="F5" s="31"/>
      <c r="G5" s="31"/>
      <c r="H5" s="32"/>
    </row>
    <row r="6" spans="2:8">
      <c r="B6" s="2" t="s">
        <v>6</v>
      </c>
      <c r="C6" s="2" t="s">
        <v>7</v>
      </c>
      <c r="D6" s="6" t="s">
        <v>8</v>
      </c>
      <c r="E6" s="2" t="s">
        <v>9</v>
      </c>
      <c r="F6" s="2" t="s">
        <v>76</v>
      </c>
      <c r="G6" s="2" t="s">
        <v>31</v>
      </c>
      <c r="H6" s="12" t="s">
        <v>50</v>
      </c>
    </row>
    <row r="7" spans="2:8">
      <c r="B7" s="1">
        <v>1</v>
      </c>
      <c r="C7" s="1">
        <v>1</v>
      </c>
      <c r="D7" s="7" t="s">
        <v>35</v>
      </c>
      <c r="E7" s="1" t="s">
        <v>36</v>
      </c>
      <c r="F7" s="1">
        <v>3000000</v>
      </c>
      <c r="G7" s="1">
        <v>3000000</v>
      </c>
      <c r="H7" s="13" t="s">
        <v>49</v>
      </c>
    </row>
    <row r="8" spans="2:8">
      <c r="B8" s="1">
        <v>2</v>
      </c>
      <c r="C8" s="1">
        <v>1</v>
      </c>
      <c r="D8" s="7" t="s">
        <v>12</v>
      </c>
      <c r="E8" s="1" t="s">
        <v>37</v>
      </c>
      <c r="F8" s="1">
        <v>0</v>
      </c>
      <c r="G8" s="1">
        <v>0</v>
      </c>
      <c r="H8" s="13" t="s">
        <v>51</v>
      </c>
    </row>
    <row r="9" spans="2:8">
      <c r="B9" s="1">
        <v>3</v>
      </c>
      <c r="C9" s="1">
        <v>1</v>
      </c>
      <c r="D9" s="7" t="s">
        <v>13</v>
      </c>
      <c r="E9" s="1" t="s">
        <v>14</v>
      </c>
      <c r="F9" s="1">
        <v>0</v>
      </c>
      <c r="G9" s="1">
        <v>0</v>
      </c>
      <c r="H9" s="13" t="s">
        <v>52</v>
      </c>
    </row>
    <row r="10" spans="2:8">
      <c r="B10" s="1">
        <v>4</v>
      </c>
      <c r="C10" s="1">
        <v>1</v>
      </c>
      <c r="D10" s="7" t="s">
        <v>15</v>
      </c>
      <c r="E10" s="1" t="s">
        <v>16</v>
      </c>
      <c r="F10" s="1">
        <v>0</v>
      </c>
      <c r="G10" s="1">
        <v>0</v>
      </c>
      <c r="H10" s="14" t="s">
        <v>53</v>
      </c>
    </row>
    <row r="11" spans="2:8">
      <c r="B11" s="1">
        <v>5</v>
      </c>
      <c r="C11" s="1">
        <v>1</v>
      </c>
      <c r="D11" s="7" t="s">
        <v>54</v>
      </c>
      <c r="E11" s="1" t="s">
        <v>55</v>
      </c>
      <c r="F11" s="1">
        <v>600000</v>
      </c>
      <c r="G11" s="1">
        <v>600000</v>
      </c>
      <c r="H11" s="14" t="s">
        <v>59</v>
      </c>
    </row>
    <row r="12" spans="2:8">
      <c r="B12" s="1">
        <v>6</v>
      </c>
      <c r="C12" s="1">
        <v>1</v>
      </c>
      <c r="D12" s="7" t="s">
        <v>56</v>
      </c>
      <c r="E12" s="1" t="s">
        <v>57</v>
      </c>
      <c r="F12" s="1">
        <v>400000</v>
      </c>
      <c r="G12" s="1">
        <v>400000</v>
      </c>
      <c r="H12" s="13" t="s">
        <v>58</v>
      </c>
    </row>
    <row r="13" spans="2:8">
      <c r="B13" s="1">
        <v>7</v>
      </c>
      <c r="C13" s="1">
        <v>1</v>
      </c>
      <c r="D13" s="7" t="s">
        <v>64</v>
      </c>
      <c r="E13" s="1" t="s">
        <v>65</v>
      </c>
      <c r="F13" s="1">
        <v>1200000</v>
      </c>
      <c r="G13" s="1">
        <v>1200000</v>
      </c>
      <c r="H13" s="13" t="s">
        <v>66</v>
      </c>
    </row>
    <row r="14" spans="2:8" ht="26.4" customHeight="1"/>
    <row r="15" spans="2:8" ht="25.2" customHeight="1">
      <c r="B15" s="27" t="s">
        <v>0</v>
      </c>
      <c r="C15" s="28"/>
      <c r="D15" s="28"/>
      <c r="E15" s="28"/>
      <c r="F15" s="28"/>
      <c r="G15" s="28"/>
      <c r="H15" s="29"/>
    </row>
    <row r="16" spans="2:8" ht="25.2" customHeight="1">
      <c r="B16" s="19" t="s">
        <v>1</v>
      </c>
      <c r="C16" s="33" t="s">
        <v>17</v>
      </c>
      <c r="D16" s="34"/>
      <c r="E16" s="34"/>
      <c r="F16" s="34"/>
      <c r="G16" s="34"/>
      <c r="H16" s="35"/>
    </row>
    <row r="17" spans="2:8" ht="25.2" customHeight="1">
      <c r="B17" s="19" t="s">
        <v>3</v>
      </c>
      <c r="C17" s="30" t="s">
        <v>34</v>
      </c>
      <c r="D17" s="31"/>
      <c r="E17" s="31"/>
      <c r="F17" s="31"/>
      <c r="G17" s="31"/>
      <c r="H17" s="32"/>
    </row>
    <row r="18" spans="2:8" ht="25.2" customHeight="1">
      <c r="B18" s="30" t="s">
        <v>4</v>
      </c>
      <c r="C18" s="31"/>
      <c r="D18" s="31"/>
      <c r="E18" s="31"/>
      <c r="F18" s="31"/>
      <c r="G18" s="31"/>
      <c r="H18" s="32"/>
    </row>
    <row r="19" spans="2:8">
      <c r="B19" s="2" t="s">
        <v>6</v>
      </c>
      <c r="C19" s="2" t="s">
        <v>7</v>
      </c>
      <c r="D19" s="6" t="s">
        <v>8</v>
      </c>
      <c r="E19" s="2" t="s">
        <v>9</v>
      </c>
      <c r="F19" s="2" t="s">
        <v>76</v>
      </c>
      <c r="G19" s="2" t="s">
        <v>31</v>
      </c>
      <c r="H19" s="13"/>
    </row>
    <row r="20" spans="2:8" ht="65.400000000000006" customHeight="1">
      <c r="B20" s="7">
        <v>1</v>
      </c>
      <c r="C20" s="7">
        <v>1</v>
      </c>
      <c r="D20" s="7" t="s">
        <v>10</v>
      </c>
      <c r="E20" s="7" t="s">
        <v>11</v>
      </c>
      <c r="F20" s="7">
        <v>0</v>
      </c>
      <c r="G20" s="7">
        <v>0</v>
      </c>
      <c r="H20" s="14" t="s">
        <v>60</v>
      </c>
    </row>
    <row r="21" spans="2:8" ht="65.400000000000006" customHeight="1">
      <c r="B21" s="7">
        <v>2</v>
      </c>
      <c r="C21" s="7">
        <v>1</v>
      </c>
      <c r="D21" s="7" t="s">
        <v>12</v>
      </c>
      <c r="E21" s="7" t="s">
        <v>18</v>
      </c>
      <c r="F21" s="7">
        <v>0</v>
      </c>
      <c r="G21" s="7">
        <v>0</v>
      </c>
      <c r="H21" s="14" t="s">
        <v>63</v>
      </c>
    </row>
    <row r="22" spans="2:8" ht="65.400000000000006" customHeight="1">
      <c r="B22" s="7">
        <v>3</v>
      </c>
      <c r="C22" s="7">
        <v>1</v>
      </c>
      <c r="D22" s="7" t="s">
        <v>13</v>
      </c>
      <c r="E22" s="7" t="s">
        <v>14</v>
      </c>
      <c r="F22" s="7">
        <v>0</v>
      </c>
      <c r="G22" s="7">
        <v>0</v>
      </c>
      <c r="H22" s="14" t="s">
        <v>62</v>
      </c>
    </row>
    <row r="23" spans="2:8" ht="65.400000000000006" customHeight="1">
      <c r="B23" s="7">
        <v>4</v>
      </c>
      <c r="C23" s="7">
        <v>1</v>
      </c>
      <c r="D23" s="7" t="s">
        <v>15</v>
      </c>
      <c r="E23" s="7" t="s">
        <v>19</v>
      </c>
      <c r="F23" s="7">
        <v>0</v>
      </c>
      <c r="G23" s="7">
        <v>0</v>
      </c>
      <c r="H23" s="14" t="s">
        <v>61</v>
      </c>
    </row>
    <row r="24" spans="2:8" ht="28.8" customHeight="1"/>
    <row r="25" spans="2:8" ht="21.6" customHeight="1">
      <c r="B25" s="36" t="s">
        <v>20</v>
      </c>
      <c r="C25" s="36"/>
      <c r="D25" s="36"/>
      <c r="E25" s="36"/>
      <c r="F25" s="36"/>
      <c r="G25" s="36"/>
      <c r="H25" s="36"/>
    </row>
    <row r="26" spans="2:8" ht="21.6" customHeight="1">
      <c r="B26" s="19" t="s">
        <v>1</v>
      </c>
      <c r="C26" s="37" t="s">
        <v>2</v>
      </c>
      <c r="D26" s="37"/>
      <c r="E26" s="37"/>
      <c r="F26" s="37"/>
      <c r="G26" s="37"/>
      <c r="H26" s="37"/>
    </row>
    <row r="27" spans="2:8" ht="21.6" customHeight="1">
      <c r="B27" s="19" t="s">
        <v>3</v>
      </c>
      <c r="C27" s="24" t="s">
        <v>34</v>
      </c>
      <c r="D27" s="24"/>
      <c r="E27" s="24"/>
      <c r="F27" s="24"/>
      <c r="G27" s="24"/>
      <c r="H27" s="24"/>
    </row>
    <row r="28" spans="2:8" ht="21.6" customHeight="1">
      <c r="B28" s="24" t="s">
        <v>21</v>
      </c>
      <c r="C28" s="24"/>
      <c r="D28" s="24"/>
      <c r="E28" s="24"/>
      <c r="F28" s="24"/>
      <c r="G28" s="24"/>
      <c r="H28" s="24"/>
    </row>
    <row r="29" spans="2:8">
      <c r="B29" s="6" t="s">
        <v>6</v>
      </c>
      <c r="C29" s="6" t="s">
        <v>7</v>
      </c>
      <c r="D29" s="6" t="s">
        <v>8</v>
      </c>
      <c r="E29" s="6" t="s">
        <v>9</v>
      </c>
      <c r="F29" s="2" t="s">
        <v>76</v>
      </c>
      <c r="G29" s="2" t="s">
        <v>31</v>
      </c>
      <c r="H29" s="12" t="s">
        <v>39</v>
      </c>
    </row>
    <row r="30" spans="2:8" ht="37.200000000000003" customHeight="1">
      <c r="B30" s="7">
        <v>1</v>
      </c>
      <c r="C30" s="7">
        <v>1</v>
      </c>
      <c r="D30" s="7" t="s">
        <v>38</v>
      </c>
      <c r="E30" s="7" t="s">
        <v>23</v>
      </c>
      <c r="F30" s="7">
        <v>0</v>
      </c>
      <c r="G30" s="7">
        <v>0</v>
      </c>
      <c r="H30" s="14" t="s">
        <v>70</v>
      </c>
    </row>
    <row r="31" spans="2:8" ht="37.200000000000003" customHeight="1">
      <c r="B31" s="7">
        <v>2</v>
      </c>
      <c r="C31" s="7">
        <v>1</v>
      </c>
      <c r="D31" s="7" t="s">
        <v>40</v>
      </c>
      <c r="E31" s="7" t="s">
        <v>23</v>
      </c>
      <c r="F31" s="7">
        <v>0</v>
      </c>
      <c r="G31" s="7">
        <v>0</v>
      </c>
      <c r="H31" s="14" t="s">
        <v>71</v>
      </c>
    </row>
    <row r="32" spans="2:8" ht="37.200000000000003" customHeight="1">
      <c r="B32" s="7">
        <v>3</v>
      </c>
      <c r="C32" s="7"/>
      <c r="D32" s="4" t="s">
        <v>41</v>
      </c>
      <c r="E32" s="7" t="s">
        <v>23</v>
      </c>
      <c r="F32" s="7">
        <v>0</v>
      </c>
      <c r="G32" s="7">
        <v>0</v>
      </c>
      <c r="H32" s="14" t="s">
        <v>72</v>
      </c>
    </row>
    <row r="33" spans="2:8" ht="37.200000000000003" customHeight="1">
      <c r="B33" s="7">
        <v>4</v>
      </c>
      <c r="C33" s="7"/>
      <c r="D33" s="7" t="s">
        <v>42</v>
      </c>
      <c r="E33" s="7" t="s">
        <v>23</v>
      </c>
      <c r="F33" s="7">
        <v>0</v>
      </c>
      <c r="G33" s="7">
        <v>0</v>
      </c>
      <c r="H33" s="14" t="s">
        <v>73</v>
      </c>
    </row>
    <row r="34" spans="2:8" ht="37.200000000000003" customHeight="1">
      <c r="B34" s="7">
        <v>5</v>
      </c>
      <c r="C34" s="7">
        <v>1</v>
      </c>
      <c r="D34" s="7" t="s">
        <v>43</v>
      </c>
      <c r="E34" s="7" t="s">
        <v>23</v>
      </c>
      <c r="F34" s="7">
        <v>0</v>
      </c>
      <c r="G34" s="7">
        <v>0</v>
      </c>
      <c r="H34" s="14" t="s">
        <v>74</v>
      </c>
    </row>
    <row r="35" spans="2:8" ht="37.200000000000003" customHeight="1">
      <c r="B35" s="7">
        <v>6</v>
      </c>
      <c r="C35" s="7"/>
      <c r="D35" s="4" t="s">
        <v>44</v>
      </c>
      <c r="E35" s="7" t="s">
        <v>23</v>
      </c>
      <c r="F35" s="7">
        <v>0</v>
      </c>
      <c r="G35" s="7">
        <v>0</v>
      </c>
      <c r="H35" s="14" t="s">
        <v>75</v>
      </c>
    </row>
    <row r="36" spans="2:8" ht="37.200000000000003" customHeight="1">
      <c r="B36" s="7">
        <v>7</v>
      </c>
      <c r="C36" s="7">
        <v>1</v>
      </c>
      <c r="D36" s="7" t="s">
        <v>38</v>
      </c>
      <c r="E36" s="7" t="s">
        <v>23</v>
      </c>
      <c r="F36" s="7">
        <v>0</v>
      </c>
      <c r="G36" s="7">
        <v>0</v>
      </c>
      <c r="H36" s="14" t="s">
        <v>70</v>
      </c>
    </row>
    <row r="37" spans="2:8" ht="37.200000000000003" customHeight="1">
      <c r="B37" s="7">
        <v>8</v>
      </c>
      <c r="C37" s="7">
        <v>1</v>
      </c>
      <c r="D37" s="7" t="s">
        <v>45</v>
      </c>
      <c r="E37" s="7" t="s">
        <v>87</v>
      </c>
      <c r="F37" s="7">
        <v>280000</v>
      </c>
      <c r="G37" s="7"/>
      <c r="H37" s="7" t="s">
        <v>88</v>
      </c>
    </row>
    <row r="38" spans="2:8" ht="21.6" customHeight="1"/>
    <row r="39" spans="2:8">
      <c r="B39" s="25" t="s">
        <v>20</v>
      </c>
      <c r="C39" s="25"/>
      <c r="D39" s="25"/>
      <c r="E39" s="25"/>
      <c r="F39" s="25"/>
      <c r="G39" s="25"/>
      <c r="H39" s="25"/>
    </row>
    <row r="40" spans="2:8">
      <c r="B40" s="3" t="s">
        <v>1</v>
      </c>
      <c r="C40" s="26" t="s">
        <v>17</v>
      </c>
      <c r="D40" s="26"/>
      <c r="E40" s="26"/>
      <c r="F40" s="26"/>
      <c r="G40" s="26"/>
      <c r="H40" s="26"/>
    </row>
    <row r="41" spans="2:8">
      <c r="B41" s="3" t="s">
        <v>3</v>
      </c>
      <c r="C41" s="22" t="s">
        <v>5</v>
      </c>
      <c r="D41" s="22"/>
      <c r="E41" s="22"/>
      <c r="F41" s="22"/>
      <c r="G41" s="22"/>
      <c r="H41" s="22"/>
    </row>
    <row r="42" spans="2:8">
      <c r="B42" s="23" t="s">
        <v>21</v>
      </c>
      <c r="C42" s="23"/>
      <c r="D42" s="23"/>
      <c r="E42" s="23"/>
      <c r="F42" s="23"/>
      <c r="G42" s="23"/>
      <c r="H42" s="23"/>
    </row>
    <row r="43" spans="2:8">
      <c r="B43" s="6" t="s">
        <v>6</v>
      </c>
      <c r="C43" s="6" t="s">
        <v>7</v>
      </c>
      <c r="D43" s="6" t="s">
        <v>8</v>
      </c>
      <c r="E43" s="6" t="s">
        <v>9</v>
      </c>
      <c r="F43" s="2" t="s">
        <v>76</v>
      </c>
      <c r="G43" s="2" t="s">
        <v>31</v>
      </c>
      <c r="H43" s="12" t="s">
        <v>39</v>
      </c>
    </row>
    <row r="44" spans="2:8" ht="57.6" customHeight="1">
      <c r="B44" s="7">
        <v>1</v>
      </c>
      <c r="C44" s="7">
        <v>1</v>
      </c>
      <c r="D44" s="5" t="s">
        <v>46</v>
      </c>
      <c r="E44" s="7" t="s">
        <v>22</v>
      </c>
      <c r="F44" s="7">
        <v>0</v>
      </c>
      <c r="G44" s="7">
        <v>0</v>
      </c>
      <c r="H44" s="14" t="s">
        <v>67</v>
      </c>
    </row>
    <row r="45" spans="2:8" ht="57.6" customHeight="1">
      <c r="B45" s="7">
        <v>2</v>
      </c>
      <c r="C45" s="7">
        <v>1</v>
      </c>
      <c r="D45" s="7" t="s">
        <v>47</v>
      </c>
      <c r="E45" s="7" t="s">
        <v>22</v>
      </c>
      <c r="F45" s="7">
        <v>0</v>
      </c>
      <c r="G45" s="7">
        <v>0</v>
      </c>
      <c r="H45" s="14" t="s">
        <v>68</v>
      </c>
    </row>
    <row r="46" spans="2:8" ht="57.6" customHeight="1">
      <c r="B46" s="7">
        <v>3</v>
      </c>
      <c r="C46" s="7">
        <v>1</v>
      </c>
      <c r="D46" s="7" t="s">
        <v>48</v>
      </c>
      <c r="E46" s="7" t="s">
        <v>22</v>
      </c>
      <c r="F46" s="7">
        <v>0</v>
      </c>
      <c r="G46" s="7">
        <v>0</v>
      </c>
      <c r="H46" s="14" t="s">
        <v>69</v>
      </c>
    </row>
    <row r="47" spans="2:8" ht="57.6" customHeight="1">
      <c r="B47" s="8"/>
      <c r="C47" s="8"/>
      <c r="E47" s="8"/>
      <c r="F47" s="8"/>
      <c r="G47" s="8"/>
      <c r="H47" s="15"/>
    </row>
    <row r="48" spans="2:8" ht="57.6" customHeight="1">
      <c r="B48" s="8"/>
      <c r="C48" s="8"/>
      <c r="E48" s="8"/>
      <c r="F48" s="8"/>
      <c r="G48" s="8"/>
      <c r="H48" s="15"/>
    </row>
    <row r="49" spans="2:9" ht="24" customHeight="1">
      <c r="B49" s="38" t="s">
        <v>24</v>
      </c>
      <c r="C49" s="38"/>
      <c r="D49" s="38"/>
      <c r="E49" s="38"/>
      <c r="F49" s="38" t="s">
        <v>77</v>
      </c>
      <c r="G49" s="38" t="s">
        <v>78</v>
      </c>
      <c r="H49" s="38" t="s">
        <v>79</v>
      </c>
      <c r="I49" s="38" t="s">
        <v>85</v>
      </c>
    </row>
    <row r="50" spans="2:9" ht="24" customHeight="1">
      <c r="B50" s="39" t="s">
        <v>25</v>
      </c>
      <c r="C50" s="39"/>
      <c r="D50" s="39"/>
      <c r="E50" s="39"/>
      <c r="F50" s="38"/>
      <c r="G50" s="38"/>
      <c r="H50" s="38"/>
      <c r="I50" s="38"/>
    </row>
    <row r="51" spans="2:9" ht="34.799999999999997" customHeight="1">
      <c r="B51" s="24" t="s">
        <v>26</v>
      </c>
      <c r="C51" s="24"/>
      <c r="D51" s="24"/>
      <c r="E51" s="24"/>
      <c r="F51" s="17">
        <v>50000</v>
      </c>
      <c r="G51" s="17">
        <v>10</v>
      </c>
      <c r="H51" s="7">
        <v>0</v>
      </c>
      <c r="I51" s="14" t="s">
        <v>80</v>
      </c>
    </row>
    <row r="52" spans="2:9" ht="34.799999999999997" customHeight="1">
      <c r="B52" s="24" t="s">
        <v>27</v>
      </c>
      <c r="C52" s="24"/>
      <c r="D52" s="24"/>
      <c r="E52" s="24"/>
      <c r="F52" s="17">
        <v>70000</v>
      </c>
      <c r="G52" s="17">
        <v>50</v>
      </c>
      <c r="H52" s="7">
        <v>0</v>
      </c>
      <c r="I52" s="14" t="s">
        <v>81</v>
      </c>
    </row>
    <row r="53" spans="2:9" ht="34.799999999999997" customHeight="1">
      <c r="B53" s="24" t="s">
        <v>28</v>
      </c>
      <c r="C53" s="24"/>
      <c r="D53" s="24"/>
      <c r="E53" s="24"/>
      <c r="F53" s="17">
        <v>50000</v>
      </c>
      <c r="G53" s="17">
        <v>300</v>
      </c>
      <c r="H53" s="7">
        <v>0</v>
      </c>
      <c r="I53" s="14" t="s">
        <v>82</v>
      </c>
    </row>
    <row r="54" spans="2:9" ht="34.799999999999997" customHeight="1">
      <c r="B54" s="24" t="s">
        <v>29</v>
      </c>
      <c r="C54" s="24"/>
      <c r="D54" s="24"/>
      <c r="E54" s="24"/>
      <c r="F54" s="17"/>
      <c r="G54" s="17"/>
      <c r="H54" s="7">
        <v>0</v>
      </c>
      <c r="I54" s="14" t="s">
        <v>83</v>
      </c>
    </row>
    <row r="55" spans="2:9" ht="34.799999999999997" customHeight="1">
      <c r="B55" s="24" t="s">
        <v>30</v>
      </c>
      <c r="C55" s="24"/>
      <c r="D55" s="24"/>
      <c r="E55" s="24"/>
      <c r="F55" s="17">
        <v>30000</v>
      </c>
      <c r="G55" s="17">
        <v>3</v>
      </c>
      <c r="H55" s="7">
        <v>0</v>
      </c>
      <c r="I55" s="14" t="s">
        <v>84</v>
      </c>
    </row>
    <row r="56" spans="2:9" ht="34.799999999999997" customHeight="1">
      <c r="B56" s="24" t="s">
        <v>91</v>
      </c>
      <c r="C56" s="24"/>
      <c r="D56" s="24"/>
      <c r="E56" s="24"/>
      <c r="F56" s="17"/>
      <c r="G56" s="17"/>
      <c r="H56" s="7">
        <f>+SUM(G7:G13)</f>
        <v>5200000</v>
      </c>
      <c r="I56" s="14" t="s">
        <v>86</v>
      </c>
    </row>
    <row r="57" spans="2:9" ht="46.8" customHeight="1">
      <c r="B57" s="24" t="s">
        <v>89</v>
      </c>
      <c r="C57" s="24"/>
      <c r="D57" s="24"/>
      <c r="E57" s="24"/>
      <c r="F57" s="17"/>
      <c r="G57" s="17"/>
      <c r="H57" s="7">
        <v>280000</v>
      </c>
      <c r="I57" s="14" t="s">
        <v>90</v>
      </c>
    </row>
    <row r="58" spans="2:9" ht="34.799999999999997" customHeight="1">
      <c r="B58" s="39" t="s">
        <v>31</v>
      </c>
      <c r="C58" s="39"/>
      <c r="D58" s="39"/>
      <c r="E58" s="39"/>
      <c r="F58" s="39"/>
      <c r="G58" s="39"/>
      <c r="H58" s="7">
        <f>+SUM(H56:H57)</f>
        <v>5480000</v>
      </c>
      <c r="I58" s="10"/>
    </row>
    <row r="59" spans="2:9" ht="40.799999999999997" customHeight="1"/>
    <row r="60" spans="2:9" ht="39.6" customHeight="1">
      <c r="B60" s="38" t="s">
        <v>32</v>
      </c>
      <c r="C60" s="38"/>
      <c r="D60" s="38"/>
      <c r="E60" s="38"/>
      <c r="F60" s="40" t="s">
        <v>77</v>
      </c>
      <c r="G60" s="40" t="s">
        <v>78</v>
      </c>
      <c r="H60" s="40" t="s">
        <v>79</v>
      </c>
      <c r="I60" s="40" t="s">
        <v>85</v>
      </c>
    </row>
    <row r="61" spans="2:9" ht="27.6" customHeight="1">
      <c r="B61" s="42" t="s">
        <v>25</v>
      </c>
      <c r="C61" s="42"/>
      <c r="D61" s="42"/>
      <c r="E61" s="42"/>
      <c r="F61" s="41"/>
      <c r="G61" s="41"/>
      <c r="H61" s="41"/>
      <c r="I61" s="41"/>
    </row>
    <row r="62" spans="2:9" ht="39.6" customHeight="1">
      <c r="B62" s="24" t="s">
        <v>33</v>
      </c>
      <c r="C62" s="24"/>
      <c r="D62" s="24"/>
      <c r="E62" s="24"/>
      <c r="F62" s="16"/>
      <c r="G62" s="16"/>
      <c r="H62" s="7">
        <v>100000</v>
      </c>
      <c r="I62" s="4" t="s">
        <v>92</v>
      </c>
    </row>
    <row r="63" spans="2:9">
      <c r="B63" s="9"/>
      <c r="C63" s="9"/>
      <c r="E63" s="9"/>
      <c r="F63" s="9"/>
      <c r="G63" s="9"/>
    </row>
  </sheetData>
  <mergeCells count="39">
    <mergeCell ref="I49:I50"/>
    <mergeCell ref="B58:E58"/>
    <mergeCell ref="F58:G58"/>
    <mergeCell ref="I60:I61"/>
    <mergeCell ref="F60:F61"/>
    <mergeCell ref="G60:G61"/>
    <mergeCell ref="H60:H61"/>
    <mergeCell ref="F49:F50"/>
    <mergeCell ref="G49:G50"/>
    <mergeCell ref="H49:H50"/>
    <mergeCell ref="B60:E60"/>
    <mergeCell ref="B61:E61"/>
    <mergeCell ref="B56:E56"/>
    <mergeCell ref="B49:E49"/>
    <mergeCell ref="B51:E51"/>
    <mergeCell ref="B50:E50"/>
    <mergeCell ref="B62:E62"/>
    <mergeCell ref="B2:H2"/>
    <mergeCell ref="C4:H4"/>
    <mergeCell ref="C3:H3"/>
    <mergeCell ref="B5:H5"/>
    <mergeCell ref="B15:H15"/>
    <mergeCell ref="C16:H16"/>
    <mergeCell ref="C17:H17"/>
    <mergeCell ref="B18:H18"/>
    <mergeCell ref="B25:H25"/>
    <mergeCell ref="C26:H26"/>
    <mergeCell ref="B52:E52"/>
    <mergeCell ref="B53:E53"/>
    <mergeCell ref="B54:E54"/>
    <mergeCell ref="B55:E55"/>
    <mergeCell ref="B57:E57"/>
    <mergeCell ref="B1:H1"/>
    <mergeCell ref="C41:H41"/>
    <mergeCell ref="B42:H42"/>
    <mergeCell ref="C27:H27"/>
    <mergeCell ref="B28:H28"/>
    <mergeCell ref="B39:H39"/>
    <mergeCell ref="C40:H40"/>
  </mergeCells>
  <pageMargins left="0.7" right="0.7" top="0.75" bottom="0.75" header="0.3" footer="0.3"/>
  <pageSetup paperSize="9" orientation="portrait" horizontalDpi="4294967292"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ARNALDO MONTIEL BRUN</dc:creator>
  <cp:lastModifiedBy>GERSON JONNATHAN LOPEZ OVIEDO</cp:lastModifiedBy>
  <cp:lastPrinted>2025-08-17T04:04:20Z</cp:lastPrinted>
  <dcterms:created xsi:type="dcterms:W3CDTF">2025-08-12T19:57:35Z</dcterms:created>
  <dcterms:modified xsi:type="dcterms:W3CDTF">2025-08-17T05:50:37Z</dcterms:modified>
</cp:coreProperties>
</file>