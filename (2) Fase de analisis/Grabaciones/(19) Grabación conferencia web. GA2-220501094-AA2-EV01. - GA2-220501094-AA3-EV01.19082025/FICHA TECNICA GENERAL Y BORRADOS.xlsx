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8) Grabación conferencia web. GA2-220501094-AA1-EV02. - GA2-220501094-AA1-EV03. 12082025\"/>
    </mc:Choice>
  </mc:AlternateContent>
  <xr:revisionPtr revIDLastSave="0" documentId="8_{854C7044-CB23-495D-AF18-A21602A87E68}" xr6:coauthVersionLast="47" xr6:coauthVersionMax="47" xr10:uidLastSave="{00000000-0000-0000-0000-000000000000}"/>
  <bookViews>
    <workbookView xWindow="-108" yWindow="-108" windowWidth="23256" windowHeight="12576" firstSheet="1" activeTab="1" xr2:uid="{1E5ABD9B-7BAE-4744-85E1-41FEE5C6BC6C}"/>
  </bookViews>
  <sheets>
    <sheet name="ficha técnica de costos" sheetId="1" r:id="rId1"/>
    <sheet name="Ficha técnica general" sheetId="4" r:id="rId2"/>
    <sheet name="Ficha técnica borrador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/>
</calcChain>
</file>

<file path=xl/sharedStrings.xml><?xml version="1.0" encoding="utf-8"?>
<sst xmlns="http://schemas.openxmlformats.org/spreadsheetml/2006/main" count="227" uniqueCount="173">
  <si>
    <t>Ficha tecnica Hardware</t>
  </si>
  <si>
    <t>Dispositivo</t>
  </si>
  <si>
    <t xml:space="preserve">Servidor </t>
  </si>
  <si>
    <t>Proyecto</t>
  </si>
  <si>
    <t>Caracteristicas fisicas (Hardware)</t>
  </si>
  <si>
    <t>Nombre del proyecto</t>
  </si>
  <si>
    <t>Item</t>
  </si>
  <si>
    <t>Cantidad</t>
  </si>
  <si>
    <t>Componente</t>
  </si>
  <si>
    <t>Descripción</t>
  </si>
  <si>
    <t>Monitor</t>
  </si>
  <si>
    <t>16" o superior - Resolución de pantalla 1024 x 768</t>
  </si>
  <si>
    <t>CPU</t>
  </si>
  <si>
    <t>Procesador Core I9 o superior</t>
  </si>
  <si>
    <t>Teclado</t>
  </si>
  <si>
    <t xml:space="preserve">Basico </t>
  </si>
  <si>
    <t>RAM</t>
  </si>
  <si>
    <t>12GB</t>
  </si>
  <si>
    <t xml:space="preserve">Cliente </t>
  </si>
  <si>
    <t>Procesador Core I7 o superior</t>
  </si>
  <si>
    <t>8GB</t>
  </si>
  <si>
    <t>Ficha Tenica  (Software)</t>
  </si>
  <si>
    <t>Ficha tecnica Software</t>
  </si>
  <si>
    <t>Caracteristicas fisicas (Software)</t>
  </si>
  <si>
    <t>Licencia propietario</t>
  </si>
  <si>
    <t>Manejador de base de datos MSQL</t>
  </si>
  <si>
    <t>Sistema operativo linux</t>
  </si>
  <si>
    <t>Licencia Libre</t>
  </si>
  <si>
    <t>Wind 11</t>
  </si>
  <si>
    <t>Office 365</t>
  </si>
  <si>
    <t>Costos directos</t>
  </si>
  <si>
    <t>Actividad</t>
  </si>
  <si>
    <t>Costo hora</t>
  </si>
  <si>
    <t>Total horas</t>
  </si>
  <si>
    <t>Costo total</t>
  </si>
  <si>
    <t>Asesoria</t>
  </si>
  <si>
    <t>Analisis de desarrollo</t>
  </si>
  <si>
    <t>Desarrollo del software</t>
  </si>
  <si>
    <t>Licencia de desarrollo</t>
  </si>
  <si>
    <t>Capacitación</t>
  </si>
  <si>
    <t>Total</t>
  </si>
  <si>
    <t>Servidor local</t>
  </si>
  <si>
    <t>Equipo cliente</t>
  </si>
  <si>
    <t>Costos indirectos</t>
  </si>
  <si>
    <t>Internet</t>
  </si>
  <si>
    <t>costo mes</t>
  </si>
  <si>
    <t>total mes</t>
  </si>
  <si>
    <t>Versión</t>
  </si>
  <si>
    <t>Fecha</t>
  </si>
  <si>
    <t>Cambio realizado</t>
  </si>
  <si>
    <t>Responsable</t>
  </si>
  <si>
    <t>Creación inicial de la ficha técnica</t>
  </si>
  <si>
    <t>Aprendiz ADSO – SENA</t>
  </si>
  <si>
    <t>Inclusión de requerimientos funcionales y no funcionales</t>
  </si>
  <si>
    <t>Actualización de arquitectura y requisitos de equipo</t>
  </si>
  <si>
    <t>HISTORIAL DE MODIFICACIONES</t>
  </si>
  <si>
    <t>Equipo de desarrollo</t>
  </si>
  <si>
    <t>Concepto</t>
  </si>
  <si>
    <t>Descripción / Contenido</t>
  </si>
  <si>
    <t>1. Características del producto</t>
  </si>
  <si>
    <t>Nombre del producto:</t>
  </si>
  <si>
    <t>TRUEQUE MATCH</t>
  </si>
  <si>
    <t>Versión / Código:</t>
  </si>
  <si>
    <t>V.01 - Prototipo funcional validado</t>
  </si>
  <si>
    <t>Línea de producción:</t>
  </si>
  <si>
    <t>Aplicación web y móvil orientada al intercambio de productos, conocimientos y servicios sin uso de dinero.</t>
  </si>
  <si>
    <t>Fecha de elaboración:</t>
  </si>
  <si>
    <t>17 de agosto del 2025</t>
  </si>
  <si>
    <t>Responsable / Equipo:</t>
  </si>
  <si>
    <t>Gerson Jonnathan López Oviedo - 3186647</t>
  </si>
  <si>
    <t>2. Descripción del producto</t>
  </si>
  <si>
    <t>Objetivo del software:</t>
  </si>
  <si>
    <t>Promover la economía colaborativa, el aprendizaje compartido y el uso responsable de recursos mediante un sistema seguro, eficiente y fácil de usar.</t>
  </si>
  <si>
    <t>Descripción breve:</t>
  </si>
  <si>
    <t>Es una plataforma digital que conecta a personas interesadas en intercambiar productos, conocimientos o servicios sin dinero.</t>
  </si>
  <si>
    <t>Alcance del producto:</t>
  </si>
  <si>
    <t>El sistema permite a los usuarios publicar ofertas o solicitudes, recibir propuestas, concretar intercambios y generar comunidad.</t>
  </si>
  <si>
    <t>Beneficiarios o usuarios objetivo:</t>
  </si>
  <si>
    <t>Personas interesadas en intercambiar bienes, conocimientos o servicios. También comunidades, grupos y organizaciones que promuevan el trueque como economía alternativa.</t>
  </si>
  <si>
    <t>3. Arquitectura</t>
  </si>
  <si>
    <t>Tecnologías Backend:</t>
  </si>
  <si>
    <t>Node.js con Express</t>
  </si>
  <si>
    <t>Tecnologías Frontend:</t>
  </si>
  <si>
    <t>React Native (móvil) y React.js (web)</t>
  </si>
  <si>
    <t>Base de datos:</t>
  </si>
  <si>
    <t>PostgreSQL</t>
  </si>
  <si>
    <t>Servicios externos o APIs:</t>
  </si>
  <si>
    <t>API de geolocalización y mensajería push</t>
  </si>
  <si>
    <t>Seguridad y despliegue:</t>
  </si>
  <si>
    <t>Certificado SSL en pruebas, control de versiones con GitHub.</t>
  </si>
  <si>
    <t>4. Requisitos del producto</t>
  </si>
  <si>
    <t>Servidor:</t>
  </si>
  <si>
    <t>Hardware: Portátil Acer Core i7, 8 GB RAM, 500 GB de disco duro. Software: Windows 10 Pro, gestor de base de datos PostgreSQL, Node.js v18+.</t>
  </si>
  <si>
    <t>Cliente:</t>
  </si>
  <si>
    <t>Hardware: Celulares Xiaomi con Android 8.0+, PC con procesador i3 o superior. Software: Navegadores (Chrome, Firefox, Edge), aplicación móvil en fase beta.</t>
  </si>
  <si>
    <t>5. Requerimientos funcionales (RF)</t>
  </si>
  <si>
    <t>6. Requerimientos adicionales / No funcionales (RNF)</t>
  </si>
  <si>
    <t>7. Clientes del producto</t>
  </si>
  <si>
    <t>Roles de usuario:</t>
  </si>
  <si>
    <t>Personas de todas las edades interesadas en intercambiar bienes, conocimientos o servicios. Comunidades y organizaciones que promuevan el trueque.</t>
  </si>
  <si>
    <t>8. Historial de modificaciones</t>
  </si>
  <si>
    <t>(Para completar)</t>
  </si>
  <si>
    <t>Registro de formato de ficha técnica</t>
  </si>
  <si>
    <t>Características del producto</t>
  </si>
  <si>
    <t>App “Trueque Match”</t>
  </si>
  <si>
    <t>No aplica (producto en desarrollo inicial).</t>
  </si>
  <si>
    <t>V.01 – Prototipo funcional validado.</t>
  </si>
  <si>
    <t>Descripción del producto</t>
  </si>
  <si>
    <t>Descripción general del producto</t>
  </si>
  <si>
    <t>Objetivo</t>
  </si>
  <si>
    <t>Promover la economía colaborativa, el aprendizaje compartido y el uso responsable de recursos mediante un sistema seguro, eficiente y fácil de usar que facilite el trueque entre usuarios.</t>
  </si>
  <si>
    <t>Arquitectura</t>
  </si>
  <si>
    <t>Requisitos del producto</t>
  </si>
  <si>
    <t>Requisitos del sistema (Servidor)</t>
  </si>
  <si>
    <t>Hardware</t>
  </si>
  <si>
    <t>Portátil Acer Core i7 (desarrollo actual)</t>
  </si>
  <si>
    <t>Conexión estable ≥ 20 Mbps</t>
  </si>
  <si>
    <t>Software:</t>
  </si>
  <si>
    <t>Servidor de pruebas: Nginx en entorno local y nube gratuita</t>
  </si>
  <si>
    <t>Otro</t>
  </si>
  <si>
    <t>Certificado SSL en pruebas</t>
  </si>
  <si>
    <t>Control de versiones con GitHub</t>
  </si>
  <si>
    <t>Requisitos del sistema (Cliente 1-5)</t>
  </si>
  <si>
    <t>Software</t>
  </si>
  <si>
    <t>Conexión a internet estable ≥ 5 Mbps</t>
  </si>
  <si>
    <t>Requerimientos funcionales generales</t>
  </si>
  <si>
    <t>Requerimientos adicionales</t>
  </si>
  <si>
    <t>Clientes del producto</t>
  </si>
  <si>
    <t>Ficha técnica proyecto App “Trueque Match”</t>
  </si>
  <si>
    <t xml:space="preserve">Línea de producción: </t>
  </si>
  <si>
    <t>Versiones anteriores:</t>
  </si>
  <si>
    <t>Versión actual:</t>
  </si>
  <si>
    <t>TRUEQUE MATCH Es una plataforma digital que conecta a personas interesadas en intercambiar productos, conocimientos o servicios sin dinero. El sistema permite a los usuarios publicar ofertas o solicitudes, recibir propuestas de otros usuarios, concretar intercambios y generar comunidad.</t>
  </si>
  <si>
    <r>
      <t xml:space="preserve">Tecnología Backend: </t>
    </r>
    <r>
      <rPr>
        <sz val="12"/>
        <color theme="1"/>
        <rFont val="Times New Roman"/>
        <family val="1"/>
      </rPr>
      <t>Node.js con Express</t>
    </r>
  </si>
  <si>
    <r>
      <t xml:space="preserve">Tecnología Frontend: </t>
    </r>
    <r>
      <rPr>
        <sz val="12"/>
        <color theme="1"/>
        <rFont val="Times New Roman"/>
        <family val="1"/>
      </rPr>
      <t>React Native (móvil) y React.js (web)</t>
    </r>
  </si>
  <si>
    <r>
      <t xml:space="preserve">Base de datos: </t>
    </r>
    <r>
      <rPr>
        <sz val="12"/>
        <color theme="1"/>
        <rFont val="Times New Roman"/>
        <family val="1"/>
      </rPr>
      <t>PostgreSQL</t>
    </r>
  </si>
  <si>
    <r>
      <t xml:space="preserve">Servicios externos: </t>
    </r>
    <r>
      <rPr>
        <sz val="12"/>
        <color theme="1"/>
        <rFont val="Times New Roman"/>
        <family val="1"/>
      </rPr>
      <t>API de geolocalización y mensajería push</t>
    </r>
  </si>
  <si>
    <r>
      <t xml:space="preserve">RAM: </t>
    </r>
    <r>
      <rPr>
        <sz val="12"/>
        <color theme="1"/>
        <rFont val="Times New Roman"/>
        <family val="1"/>
      </rPr>
      <t>8 GB</t>
    </r>
  </si>
  <si>
    <r>
      <t xml:space="preserve">Disco duro: </t>
    </r>
    <r>
      <rPr>
        <sz val="12"/>
        <color theme="1"/>
        <rFont val="Times New Roman"/>
        <family val="1"/>
      </rPr>
      <t>500 GB</t>
    </r>
  </si>
  <si>
    <r>
      <t>Sistema operativo</t>
    </r>
    <r>
      <rPr>
        <sz val="12"/>
        <color theme="1"/>
        <rFont val="Times New Roman"/>
        <family val="1"/>
      </rPr>
      <t>: Windows 10 Pro (equipo de desarrollo)</t>
    </r>
  </si>
  <si>
    <r>
      <t xml:space="preserve">Gestor de base de datos: </t>
    </r>
    <r>
      <rPr>
        <sz val="12"/>
        <color theme="1"/>
        <rFont val="Times New Roman"/>
        <family val="1"/>
      </rPr>
      <t>PostgreSQL</t>
    </r>
  </si>
  <si>
    <r>
      <t xml:space="preserve">Entorno de ejecución: </t>
    </r>
    <r>
      <rPr>
        <sz val="12"/>
        <color theme="1"/>
        <rFont val="Times New Roman"/>
        <family val="1"/>
      </rPr>
      <t>Node.js v18+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</si>
  <si>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2 celulares Xiaomi con Android 8.0+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</si>
  <si>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1 celular Redmi (4.0 + 2.0 GB RAM)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</si>
  <si>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PC con procesador i3 o superior (para pruebas de navegador)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</si>
  <si>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Navegadores: </t>
    </r>
    <r>
      <rPr>
        <sz val="12"/>
        <color theme="1"/>
        <rFont val="Times New Roman"/>
        <family val="1"/>
      </rPr>
      <t>Chrome, Firefox, Edge (últimas versiones)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</si>
  <si>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Aplicación móvil en fase beta instalada vía APK</t>
    </r>
  </si>
  <si>
    <t>Requerimientos del producto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</si>
  <si>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(01): </t>
    </r>
    <r>
      <rPr>
        <sz val="12"/>
        <color theme="1"/>
        <rFont val="Times New Roman"/>
        <family val="1"/>
      </rPr>
      <t>Registro de usuarios – Permite registrar nuevos usuarios y asegurar su identidad.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</si>
  <si>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(02): </t>
    </r>
    <r>
      <rPr>
        <sz val="12"/>
        <color theme="1"/>
        <rFont val="Times New Roman"/>
        <family val="1"/>
      </rPr>
      <t>Autenticación de usuarios – Controla el acceso seguro al sistema.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</si>
  <si>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(03): </t>
    </r>
    <r>
      <rPr>
        <sz val="12"/>
        <color theme="1"/>
        <rFont val="Times New Roman"/>
        <family val="1"/>
      </rPr>
      <t>Gestión de perfiles – Permite al usuario editar y gestionar su perfil personal.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</si>
  <si>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(04): </t>
    </r>
    <r>
      <rPr>
        <sz val="12"/>
        <color theme="1"/>
        <rFont val="Times New Roman"/>
        <family val="1"/>
      </rPr>
      <t>Publicación de ofertas – El usuario puede ofrecer o solicitar algo en la app.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</si>
  <si>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(05): </t>
    </r>
    <r>
      <rPr>
        <sz val="12"/>
        <color theme="1"/>
        <rFont val="Times New Roman"/>
        <family val="1"/>
      </rPr>
      <t>Clasificación de publicaciones – Filtra y organiza resultados para búsquedas rápidas.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</si>
  <si>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(06): </t>
    </r>
    <r>
      <rPr>
        <sz val="12"/>
        <color theme="1"/>
        <rFont val="Times New Roman"/>
        <family val="1"/>
      </rPr>
      <t>Envío de propuestas de trueque – Permite generar solicitudes de intercambio</t>
    </r>
    <r>
      <rPr>
        <b/>
        <sz val="12"/>
        <color theme="1"/>
        <rFont val="Times New Roman"/>
        <family val="1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</si>
  <si>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(07): </t>
    </r>
    <r>
      <rPr>
        <sz val="12"/>
        <color theme="1"/>
        <rFont val="Times New Roman"/>
        <family val="1"/>
      </rPr>
      <t>Gestión de propuestas – Facilita aceptar, rechazar o contraoferta.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</si>
  <si>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>RF (08): S</t>
    </r>
    <r>
      <rPr>
        <sz val="12"/>
        <color theme="1"/>
        <rFont val="Times New Roman"/>
        <family val="1"/>
      </rPr>
      <t>istema de negociación y chat – Mejora la comunicación directa entre usuarios.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</si>
  <si>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(09): </t>
    </r>
    <r>
      <rPr>
        <sz val="12"/>
        <color theme="1"/>
        <rFont val="Times New Roman"/>
        <family val="1"/>
      </rPr>
      <t>Historial de intercambios – Registra todos los trueques realizados.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</si>
  <si>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(10): </t>
    </r>
    <r>
      <rPr>
        <sz val="12"/>
        <color theme="1"/>
        <rFont val="Times New Roman"/>
        <family val="1"/>
      </rPr>
      <t>Calificación y reputación – Ayuda a generar confianza en la comunidad.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</si>
  <si>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(11): </t>
    </r>
    <r>
      <rPr>
        <sz val="12"/>
        <color theme="1"/>
        <rFont val="Times New Roman"/>
        <family val="1"/>
      </rPr>
      <t>Notificaciones inteligentes – Informa sobre mensajes, propuestas y cambios relevantes.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</si>
  <si>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(12): </t>
    </r>
    <r>
      <rPr>
        <sz val="12"/>
        <color theme="1"/>
        <rFont val="Times New Roman"/>
        <family val="1"/>
      </rPr>
      <t>Gestión de favoritos – Guarda publicaciones de interés para consulta posterior.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</si>
  <si>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(13): </t>
    </r>
    <r>
      <rPr>
        <sz val="12"/>
        <color theme="1"/>
        <rFont val="Times New Roman"/>
        <family val="1"/>
      </rPr>
      <t>Reportar y bloquear usuarios – Mejora la seguridad y convivencia.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</si>
  <si>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RF (14): </t>
    </r>
    <r>
      <rPr>
        <sz val="12"/>
        <color theme="1"/>
        <rFont val="Times New Roman"/>
        <family val="1"/>
      </rPr>
      <t>Visualización cruzada – Ofrece coincidencias entre categorías para ampliar posibilidades de trueque.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</si>
  <si>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(01): </t>
    </r>
    <r>
      <rPr>
        <sz val="12"/>
        <color theme="1"/>
        <rFont val="Times New Roman"/>
        <family val="1"/>
      </rPr>
      <t>Rendimiento – Respuesta menor a 3 segundos en acciones comunes.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</si>
  <si>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(02): </t>
    </r>
    <r>
      <rPr>
        <sz val="12"/>
        <color theme="1"/>
        <rFont val="Times New Roman"/>
        <family val="1"/>
      </rPr>
      <t>Disponibilidad – 99% de tiempo activo para acceso continuo.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</si>
  <si>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(03): </t>
    </r>
    <r>
      <rPr>
        <sz val="12"/>
        <color theme="1"/>
        <rFont val="Times New Roman"/>
        <family val="1"/>
      </rPr>
      <t>Seguridad de acceso y datos – Protección de credenciales y datos sensibles.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</si>
  <si>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(04): </t>
    </r>
    <r>
      <rPr>
        <sz val="12"/>
        <color theme="1"/>
        <rFont val="Times New Roman"/>
        <family val="1"/>
      </rPr>
      <t>Privacidad de usuarios – Cumplimiento con la Ley de Protección de Datos.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</si>
  <si>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(05): </t>
    </r>
    <r>
      <rPr>
        <sz val="12"/>
        <color theme="1"/>
        <rFont val="Times New Roman"/>
        <family val="1"/>
      </rPr>
      <t>Usabilidad – Interfaz intuitiva para todo tipo de usuario.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</si>
  <si>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(06): </t>
    </r>
    <r>
      <rPr>
        <sz val="12"/>
        <color theme="1"/>
        <rFont val="Times New Roman"/>
        <family val="1"/>
      </rPr>
      <t>Escalabilidad – Crecimiento en usuarios y funciones sin afectar desempeño.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</si>
  <si>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(07): </t>
    </r>
    <r>
      <rPr>
        <sz val="12"/>
        <color theme="1"/>
        <rFont val="Times New Roman"/>
        <family val="1"/>
      </rPr>
      <t>Compatibilidad y portabilidad – Disponible en Android, iOS y navegadores.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</si>
  <si>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Times New Roman"/>
        <family val="1"/>
      </rPr>
      <t xml:space="preserve">RNF (08): </t>
    </r>
    <r>
      <rPr>
        <sz val="12"/>
        <color theme="1"/>
        <rFont val="Times New Roman"/>
        <family val="1"/>
      </rPr>
      <t>Respaldo automático, Copias periódicas de datos para evitar pérdidas.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</si>
  <si>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Personas de todas las edades interesadas en intercambiar bienes, conocimientos o servicios.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</si>
  <si>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Comunidades, grupos y organizaciones que promuevan el trueque como economía alternativa</t>
    </r>
    <r>
      <rPr>
        <b/>
        <sz val="12"/>
        <color theme="1"/>
        <rFont val="Times New Roman"/>
        <family val="1"/>
      </rPr>
      <t>.</t>
    </r>
  </si>
  <si>
    <t>Historial Modificaciones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</si>
</sst>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7"/>
      <color theme="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 indent="5"/>
    </xf>
    <xf numFmtId="0" fontId="13" fillId="7" borderId="10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9" fillId="7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02C9-8C67-4A3B-9637-2C35B282C245}">
  <dimension ref="B2:N62"/>
  <sheetViews>
    <sheetView zoomScale="50" zoomScaleNormal="50" workbookViewId="0">
      <selection activeCell="O46" sqref="O46"/>
    </sheetView>
  </sheetViews>
  <sheetFormatPr baseColWidth="10" defaultRowHeight="14.4" x14ac:dyDescent="0.3"/>
  <cols>
    <col min="4" max="4" width="35.88671875" customWidth="1"/>
  </cols>
  <sheetData>
    <row r="2" spans="2:10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x14ac:dyDescent="0.3">
      <c r="B3" s="3" t="s">
        <v>1</v>
      </c>
      <c r="C3" s="26" t="s">
        <v>2</v>
      </c>
      <c r="D3" s="26"/>
      <c r="E3" s="26"/>
      <c r="F3" s="26"/>
      <c r="G3" s="26"/>
      <c r="H3" s="26"/>
      <c r="I3" s="26"/>
      <c r="J3" s="26"/>
    </row>
    <row r="4" spans="2:10" x14ac:dyDescent="0.3">
      <c r="B4" s="3" t="s">
        <v>3</v>
      </c>
      <c r="C4" s="26" t="s">
        <v>5</v>
      </c>
      <c r="D4" s="26"/>
      <c r="E4" s="26"/>
      <c r="F4" s="26"/>
      <c r="G4" s="26"/>
      <c r="H4" s="26"/>
      <c r="I4" s="26"/>
      <c r="J4" s="26"/>
    </row>
    <row r="5" spans="2:10" x14ac:dyDescent="0.3">
      <c r="B5" s="22" t="s">
        <v>4</v>
      </c>
      <c r="C5" s="22"/>
      <c r="D5" s="22"/>
      <c r="E5" s="22"/>
      <c r="F5" s="22"/>
      <c r="G5" s="22"/>
      <c r="H5" s="22"/>
      <c r="I5" s="22"/>
      <c r="J5" s="22"/>
    </row>
    <row r="6" spans="2:10" x14ac:dyDescent="0.3">
      <c r="B6" s="2" t="s">
        <v>6</v>
      </c>
      <c r="C6" s="2" t="s">
        <v>7</v>
      </c>
      <c r="D6" s="2" t="s">
        <v>8</v>
      </c>
      <c r="E6" s="21" t="s">
        <v>9</v>
      </c>
      <c r="F6" s="21"/>
      <c r="G6" s="21"/>
      <c r="H6" s="21"/>
      <c r="I6" s="21"/>
      <c r="J6" s="21"/>
    </row>
    <row r="7" spans="2:10" x14ac:dyDescent="0.3">
      <c r="B7" s="1">
        <v>1</v>
      </c>
      <c r="C7" s="1">
        <v>1</v>
      </c>
      <c r="D7" s="1" t="s">
        <v>10</v>
      </c>
      <c r="E7" s="26" t="s">
        <v>11</v>
      </c>
      <c r="F7" s="26"/>
      <c r="G7" s="26"/>
      <c r="H7" s="26"/>
      <c r="I7" s="26"/>
      <c r="J7" s="26"/>
    </row>
    <row r="8" spans="2:10" x14ac:dyDescent="0.3">
      <c r="B8" s="1">
        <v>2</v>
      </c>
      <c r="C8" s="1">
        <v>1</v>
      </c>
      <c r="D8" s="1" t="s">
        <v>12</v>
      </c>
      <c r="E8" s="26" t="s">
        <v>13</v>
      </c>
      <c r="F8" s="26"/>
      <c r="G8" s="26"/>
      <c r="H8" s="26"/>
      <c r="I8" s="26"/>
      <c r="J8" s="26"/>
    </row>
    <row r="9" spans="2:10" x14ac:dyDescent="0.3">
      <c r="B9" s="1">
        <v>3</v>
      </c>
      <c r="C9" s="1">
        <v>1</v>
      </c>
      <c r="D9" s="1" t="s">
        <v>14</v>
      </c>
      <c r="E9" s="26" t="s">
        <v>15</v>
      </c>
      <c r="F9" s="26"/>
      <c r="G9" s="26"/>
      <c r="H9" s="26"/>
      <c r="I9" s="26"/>
      <c r="J9" s="26"/>
    </row>
    <row r="10" spans="2:10" x14ac:dyDescent="0.3">
      <c r="B10" s="1">
        <v>4</v>
      </c>
      <c r="C10" s="1">
        <v>1</v>
      </c>
      <c r="D10" s="1" t="s">
        <v>16</v>
      </c>
      <c r="E10" s="26" t="s">
        <v>17</v>
      </c>
      <c r="F10" s="26"/>
      <c r="G10" s="26"/>
      <c r="H10" s="26"/>
      <c r="I10" s="26"/>
      <c r="J10" s="26"/>
    </row>
    <row r="12" spans="2:10" x14ac:dyDescent="0.3">
      <c r="B12" s="21" t="s">
        <v>0</v>
      </c>
      <c r="C12" s="21"/>
      <c r="D12" s="21"/>
      <c r="E12" s="21"/>
      <c r="F12" s="21"/>
      <c r="G12" s="21"/>
      <c r="H12" s="21"/>
      <c r="I12" s="21"/>
      <c r="J12" s="21"/>
    </row>
    <row r="13" spans="2:10" x14ac:dyDescent="0.3">
      <c r="B13" s="3" t="s">
        <v>1</v>
      </c>
      <c r="C13" s="26" t="s">
        <v>18</v>
      </c>
      <c r="D13" s="26"/>
      <c r="E13" s="26"/>
      <c r="F13" s="26"/>
      <c r="G13" s="26"/>
      <c r="H13" s="26"/>
      <c r="I13" s="26"/>
      <c r="J13" s="26"/>
    </row>
    <row r="14" spans="2:10" x14ac:dyDescent="0.3">
      <c r="B14" s="3" t="s">
        <v>3</v>
      </c>
      <c r="C14" s="26" t="s">
        <v>5</v>
      </c>
      <c r="D14" s="26"/>
      <c r="E14" s="26"/>
      <c r="F14" s="26"/>
      <c r="G14" s="26"/>
      <c r="H14" s="26"/>
      <c r="I14" s="26"/>
      <c r="J14" s="26"/>
    </row>
    <row r="15" spans="2:10" x14ac:dyDescent="0.3">
      <c r="B15" s="22" t="s">
        <v>4</v>
      </c>
      <c r="C15" s="22"/>
      <c r="D15" s="22"/>
      <c r="E15" s="22"/>
      <c r="F15" s="22"/>
      <c r="G15" s="22"/>
      <c r="H15" s="22"/>
      <c r="I15" s="22"/>
      <c r="J15" s="22"/>
    </row>
    <row r="16" spans="2:10" x14ac:dyDescent="0.3">
      <c r="B16" s="2" t="s">
        <v>6</v>
      </c>
      <c r="C16" s="2" t="s">
        <v>7</v>
      </c>
      <c r="D16" s="2" t="s">
        <v>8</v>
      </c>
      <c r="E16" s="21" t="s">
        <v>9</v>
      </c>
      <c r="F16" s="21"/>
      <c r="G16" s="21"/>
      <c r="H16" s="21"/>
      <c r="I16" s="21"/>
      <c r="J16" s="21"/>
    </row>
    <row r="17" spans="2:10" x14ac:dyDescent="0.3">
      <c r="B17" s="1">
        <v>1</v>
      </c>
      <c r="C17" s="1">
        <v>1</v>
      </c>
      <c r="D17" s="1" t="s">
        <v>10</v>
      </c>
      <c r="E17" s="26" t="s">
        <v>11</v>
      </c>
      <c r="F17" s="26"/>
      <c r="G17" s="26"/>
      <c r="H17" s="26"/>
      <c r="I17" s="26"/>
      <c r="J17" s="26"/>
    </row>
    <row r="18" spans="2:10" x14ac:dyDescent="0.3">
      <c r="B18" s="1">
        <v>2</v>
      </c>
      <c r="C18" s="1">
        <v>1</v>
      </c>
      <c r="D18" s="1" t="s">
        <v>12</v>
      </c>
      <c r="E18" s="26" t="s">
        <v>19</v>
      </c>
      <c r="F18" s="26"/>
      <c r="G18" s="26"/>
      <c r="H18" s="26"/>
      <c r="I18" s="26"/>
      <c r="J18" s="26"/>
    </row>
    <row r="19" spans="2:10" x14ac:dyDescent="0.3">
      <c r="B19" s="1">
        <v>3</v>
      </c>
      <c r="C19" s="1">
        <v>1</v>
      </c>
      <c r="D19" s="1" t="s">
        <v>14</v>
      </c>
      <c r="E19" s="26" t="s">
        <v>15</v>
      </c>
      <c r="F19" s="26"/>
      <c r="G19" s="26"/>
      <c r="H19" s="26"/>
      <c r="I19" s="26"/>
      <c r="J19" s="26"/>
    </row>
    <row r="20" spans="2:10" x14ac:dyDescent="0.3">
      <c r="B20" s="1">
        <v>4</v>
      </c>
      <c r="C20" s="1">
        <v>1</v>
      </c>
      <c r="D20" s="1" t="s">
        <v>16</v>
      </c>
      <c r="E20" s="26" t="s">
        <v>20</v>
      </c>
      <c r="F20" s="26"/>
      <c r="G20" s="26"/>
      <c r="H20" s="26"/>
      <c r="I20" s="26"/>
      <c r="J20" s="26"/>
    </row>
    <row r="22" spans="2:10" x14ac:dyDescent="0.3">
      <c r="B22" s="27" t="s">
        <v>21</v>
      </c>
      <c r="C22" s="27"/>
      <c r="D22" s="27"/>
      <c r="E22" s="27"/>
      <c r="F22" s="27"/>
      <c r="G22" s="27"/>
      <c r="H22" s="27"/>
      <c r="I22" s="27"/>
      <c r="J22" s="27"/>
    </row>
    <row r="23" spans="2:10" x14ac:dyDescent="0.3">
      <c r="B23" s="21" t="s">
        <v>22</v>
      </c>
      <c r="C23" s="21"/>
      <c r="D23" s="21"/>
      <c r="E23" s="21"/>
      <c r="F23" s="21"/>
      <c r="G23" s="21"/>
      <c r="H23" s="21"/>
      <c r="I23" s="21"/>
      <c r="J23" s="21"/>
    </row>
    <row r="24" spans="2:10" x14ac:dyDescent="0.3">
      <c r="B24" s="3" t="s">
        <v>1</v>
      </c>
      <c r="C24" s="26" t="s">
        <v>2</v>
      </c>
      <c r="D24" s="26"/>
      <c r="E24" s="26"/>
      <c r="F24" s="26"/>
      <c r="G24" s="26"/>
      <c r="H24" s="26"/>
      <c r="I24" s="26"/>
      <c r="J24" s="26"/>
    </row>
    <row r="25" spans="2:10" x14ac:dyDescent="0.3">
      <c r="B25" s="3" t="s">
        <v>3</v>
      </c>
      <c r="C25" s="26" t="s">
        <v>5</v>
      </c>
      <c r="D25" s="26"/>
      <c r="E25" s="26"/>
      <c r="F25" s="26"/>
      <c r="G25" s="26"/>
      <c r="H25" s="26"/>
      <c r="I25" s="26"/>
      <c r="J25" s="26"/>
    </row>
    <row r="26" spans="2:10" x14ac:dyDescent="0.3">
      <c r="B26" s="22" t="s">
        <v>23</v>
      </c>
      <c r="C26" s="22"/>
      <c r="D26" s="22"/>
      <c r="E26" s="22"/>
      <c r="F26" s="22"/>
      <c r="G26" s="22"/>
      <c r="H26" s="22"/>
      <c r="I26" s="22"/>
      <c r="J26" s="22"/>
    </row>
    <row r="27" spans="2:10" x14ac:dyDescent="0.3">
      <c r="B27" s="2" t="s">
        <v>6</v>
      </c>
      <c r="C27" s="2" t="s">
        <v>7</v>
      </c>
      <c r="D27" s="2" t="s">
        <v>8</v>
      </c>
      <c r="E27" s="21" t="s">
        <v>9</v>
      </c>
      <c r="F27" s="21"/>
      <c r="G27" s="21"/>
      <c r="H27" s="21"/>
      <c r="I27" s="21"/>
      <c r="J27" s="21"/>
    </row>
    <row r="28" spans="2:10" x14ac:dyDescent="0.3">
      <c r="B28" s="1">
        <v>1</v>
      </c>
      <c r="C28" s="1">
        <v>1</v>
      </c>
      <c r="D28" s="1" t="s">
        <v>25</v>
      </c>
      <c r="E28" s="26" t="s">
        <v>24</v>
      </c>
      <c r="F28" s="26"/>
      <c r="G28" s="26"/>
      <c r="H28" s="26"/>
      <c r="I28" s="26"/>
      <c r="J28" s="26"/>
    </row>
    <row r="29" spans="2:10" x14ac:dyDescent="0.3">
      <c r="B29" s="1">
        <v>2</v>
      </c>
      <c r="C29" s="1">
        <v>1</v>
      </c>
      <c r="D29" s="1" t="s">
        <v>26</v>
      </c>
      <c r="E29" s="26" t="s">
        <v>27</v>
      </c>
      <c r="F29" s="26"/>
      <c r="G29" s="26"/>
      <c r="H29" s="26"/>
      <c r="I29" s="26"/>
      <c r="J29" s="26"/>
    </row>
    <row r="31" spans="2:10" x14ac:dyDescent="0.3">
      <c r="B31" s="21" t="s">
        <v>22</v>
      </c>
      <c r="C31" s="21"/>
      <c r="D31" s="21"/>
      <c r="E31" s="21"/>
      <c r="F31" s="21"/>
      <c r="G31" s="21"/>
      <c r="H31" s="21"/>
      <c r="I31" s="21"/>
      <c r="J31" s="21"/>
    </row>
    <row r="32" spans="2:10" x14ac:dyDescent="0.3">
      <c r="B32" s="3" t="s">
        <v>1</v>
      </c>
      <c r="C32" s="26" t="s">
        <v>18</v>
      </c>
      <c r="D32" s="26"/>
      <c r="E32" s="26"/>
      <c r="F32" s="26"/>
      <c r="G32" s="26"/>
      <c r="H32" s="26"/>
      <c r="I32" s="26"/>
      <c r="J32" s="26"/>
    </row>
    <row r="33" spans="2:10" x14ac:dyDescent="0.3">
      <c r="B33" s="3" t="s">
        <v>3</v>
      </c>
      <c r="C33" s="26" t="s">
        <v>5</v>
      </c>
      <c r="D33" s="26"/>
      <c r="E33" s="26"/>
      <c r="F33" s="26"/>
      <c r="G33" s="26"/>
      <c r="H33" s="26"/>
      <c r="I33" s="26"/>
      <c r="J33" s="26"/>
    </row>
    <row r="34" spans="2:10" x14ac:dyDescent="0.3">
      <c r="B34" s="22" t="s">
        <v>23</v>
      </c>
      <c r="C34" s="22"/>
      <c r="D34" s="22"/>
      <c r="E34" s="22"/>
      <c r="F34" s="22"/>
      <c r="G34" s="22"/>
      <c r="H34" s="22"/>
      <c r="I34" s="22"/>
      <c r="J34" s="22"/>
    </row>
    <row r="35" spans="2:10" x14ac:dyDescent="0.3">
      <c r="B35" s="2" t="s">
        <v>6</v>
      </c>
      <c r="C35" s="2" t="s">
        <v>7</v>
      </c>
      <c r="D35" s="2" t="s">
        <v>8</v>
      </c>
      <c r="E35" s="21" t="s">
        <v>9</v>
      </c>
      <c r="F35" s="21"/>
      <c r="G35" s="21"/>
      <c r="H35" s="21"/>
      <c r="I35" s="21"/>
      <c r="J35" s="21"/>
    </row>
    <row r="36" spans="2:10" x14ac:dyDescent="0.3">
      <c r="B36" s="1">
        <v>1</v>
      </c>
      <c r="C36" s="1">
        <v>1</v>
      </c>
      <c r="D36" s="1" t="s">
        <v>28</v>
      </c>
      <c r="E36" s="26" t="s">
        <v>24</v>
      </c>
      <c r="F36" s="26"/>
      <c r="G36" s="26"/>
      <c r="H36" s="26"/>
      <c r="I36" s="26"/>
      <c r="J36" s="26"/>
    </row>
    <row r="37" spans="2:10" x14ac:dyDescent="0.3">
      <c r="B37" s="1">
        <v>2</v>
      </c>
      <c r="C37" s="1">
        <v>1</v>
      </c>
      <c r="D37" s="1" t="s">
        <v>29</v>
      </c>
      <c r="E37" s="26" t="s">
        <v>24</v>
      </c>
      <c r="F37" s="26"/>
      <c r="G37" s="26"/>
      <c r="H37" s="26"/>
      <c r="I37" s="26"/>
      <c r="J37" s="26"/>
    </row>
    <row r="39" spans="2:10" x14ac:dyDescent="0.3">
      <c r="B39" s="21" t="s">
        <v>30</v>
      </c>
      <c r="C39" s="21"/>
      <c r="D39" s="21"/>
      <c r="E39" s="21"/>
      <c r="F39" s="21"/>
      <c r="G39" s="21"/>
      <c r="H39" s="21"/>
      <c r="I39" s="21"/>
      <c r="J39" s="21"/>
    </row>
    <row r="40" spans="2:10" x14ac:dyDescent="0.3">
      <c r="B40" s="28" t="s">
        <v>31</v>
      </c>
      <c r="C40" s="28"/>
      <c r="D40" s="28"/>
      <c r="E40" s="28"/>
      <c r="F40" s="28"/>
      <c r="G40" s="4" t="s">
        <v>32</v>
      </c>
      <c r="H40" s="4" t="s">
        <v>33</v>
      </c>
      <c r="I40" s="28" t="s">
        <v>34</v>
      </c>
      <c r="J40" s="28"/>
    </row>
    <row r="41" spans="2:10" x14ac:dyDescent="0.3">
      <c r="B41" s="26" t="s">
        <v>35</v>
      </c>
      <c r="C41" s="26"/>
      <c r="D41" s="26"/>
      <c r="E41" s="26"/>
      <c r="F41" s="26"/>
      <c r="G41" s="5">
        <v>50000</v>
      </c>
      <c r="H41" s="5">
        <v>10</v>
      </c>
      <c r="I41" s="29">
        <v>500000</v>
      </c>
      <c r="J41" s="29"/>
    </row>
    <row r="42" spans="2:10" x14ac:dyDescent="0.3">
      <c r="B42" s="26" t="s">
        <v>36</v>
      </c>
      <c r="C42" s="26"/>
      <c r="D42" s="26"/>
      <c r="E42" s="26"/>
      <c r="F42" s="26"/>
      <c r="G42" s="5">
        <v>70000</v>
      </c>
      <c r="H42" s="5">
        <v>50</v>
      </c>
      <c r="I42" s="29">
        <v>3500000</v>
      </c>
      <c r="J42" s="29"/>
    </row>
    <row r="43" spans="2:10" x14ac:dyDescent="0.3">
      <c r="B43" s="26" t="s">
        <v>37</v>
      </c>
      <c r="C43" s="26"/>
      <c r="D43" s="26"/>
      <c r="E43" s="26"/>
      <c r="F43" s="26"/>
      <c r="G43" s="5">
        <v>40000</v>
      </c>
      <c r="H43" s="5">
        <v>220</v>
      </c>
      <c r="I43" s="29">
        <v>8800000</v>
      </c>
      <c r="J43" s="29"/>
    </row>
    <row r="44" spans="2:10" x14ac:dyDescent="0.3">
      <c r="B44" s="26" t="s">
        <v>38</v>
      </c>
      <c r="C44" s="26"/>
      <c r="D44" s="26"/>
      <c r="E44" s="26"/>
      <c r="F44" s="26"/>
      <c r="G44" s="5"/>
      <c r="H44" s="5"/>
      <c r="I44" s="29">
        <v>1000000</v>
      </c>
      <c r="J44" s="29"/>
    </row>
    <row r="45" spans="2:10" x14ac:dyDescent="0.3">
      <c r="B45" s="26" t="s">
        <v>39</v>
      </c>
      <c r="C45" s="26"/>
      <c r="D45" s="26"/>
      <c r="E45" s="26"/>
      <c r="F45" s="26"/>
      <c r="G45" s="5">
        <v>30000</v>
      </c>
      <c r="H45" s="5">
        <v>1</v>
      </c>
      <c r="I45" s="29">
        <v>30000</v>
      </c>
      <c r="J45" s="29"/>
    </row>
    <row r="46" spans="2:10" x14ac:dyDescent="0.3">
      <c r="B46" s="30" t="s">
        <v>42</v>
      </c>
      <c r="C46" s="31"/>
      <c r="D46" s="31"/>
      <c r="E46" s="31"/>
      <c r="F46" s="32"/>
      <c r="G46" s="5"/>
      <c r="H46" s="5"/>
      <c r="I46" s="33">
        <v>3000000</v>
      </c>
      <c r="J46" s="34"/>
    </row>
    <row r="47" spans="2:10" x14ac:dyDescent="0.3">
      <c r="B47" s="26" t="s">
        <v>41</v>
      </c>
      <c r="C47" s="26"/>
      <c r="D47" s="26"/>
      <c r="E47" s="26"/>
      <c r="F47" s="26"/>
      <c r="G47" s="5"/>
      <c r="H47" s="5"/>
      <c r="I47" s="29">
        <v>12000000</v>
      </c>
      <c r="J47" s="29"/>
    </row>
    <row r="48" spans="2:10" x14ac:dyDescent="0.3">
      <c r="B48" s="23" t="s">
        <v>40</v>
      </c>
      <c r="C48" s="24"/>
      <c r="D48" s="24"/>
      <c r="E48" s="24"/>
      <c r="F48" s="24"/>
      <c r="G48" s="24"/>
      <c r="H48" s="25"/>
      <c r="I48" s="29">
        <f>SUM(I41:J47)</f>
        <v>28830000</v>
      </c>
      <c r="J48" s="29"/>
    </row>
    <row r="50" spans="2:14" x14ac:dyDescent="0.3">
      <c r="B50" s="21" t="s">
        <v>43</v>
      </c>
      <c r="C50" s="21"/>
      <c r="D50" s="21"/>
      <c r="E50" s="21"/>
      <c r="F50" s="21"/>
      <c r="G50" s="21"/>
      <c r="H50" s="21"/>
      <c r="I50" s="21"/>
      <c r="J50" s="21"/>
    </row>
    <row r="51" spans="2:14" x14ac:dyDescent="0.3">
      <c r="B51" s="28" t="s">
        <v>31</v>
      </c>
      <c r="C51" s="28"/>
      <c r="D51" s="28"/>
      <c r="E51" s="28"/>
      <c r="F51" s="28"/>
      <c r="G51" s="4" t="s">
        <v>45</v>
      </c>
      <c r="H51" s="4" t="s">
        <v>46</v>
      </c>
      <c r="I51" s="28" t="s">
        <v>34</v>
      </c>
      <c r="J51" s="28"/>
    </row>
    <row r="52" spans="2:14" x14ac:dyDescent="0.3">
      <c r="B52" s="26" t="s">
        <v>44</v>
      </c>
      <c r="C52" s="26"/>
      <c r="D52" s="26"/>
      <c r="E52" s="26"/>
      <c r="F52" s="26"/>
      <c r="G52" s="5">
        <v>50000</v>
      </c>
      <c r="H52" s="5">
        <v>12</v>
      </c>
      <c r="I52" s="29">
        <f>G52*H52</f>
        <v>600000</v>
      </c>
      <c r="J52" s="29"/>
    </row>
    <row r="54" spans="2:14" x14ac:dyDescent="0.3">
      <c r="B54" s="23" t="s">
        <v>55</v>
      </c>
      <c r="C54" s="24"/>
      <c r="D54" s="24"/>
      <c r="E54" s="24"/>
      <c r="F54" s="24"/>
      <c r="G54" s="24"/>
      <c r="H54" s="24"/>
      <c r="I54" s="24"/>
      <c r="J54" s="25"/>
    </row>
    <row r="55" spans="2:14" ht="14.4" customHeight="1" x14ac:dyDescent="0.3">
      <c r="B55" s="7" t="s">
        <v>47</v>
      </c>
      <c r="C55" s="7" t="s">
        <v>48</v>
      </c>
      <c r="D55" s="20" t="s">
        <v>49</v>
      </c>
      <c r="E55" s="20"/>
      <c r="F55" s="20"/>
      <c r="G55" s="20"/>
      <c r="H55" s="20" t="s">
        <v>50</v>
      </c>
      <c r="I55" s="20"/>
      <c r="J55" s="20"/>
    </row>
    <row r="56" spans="2:14" ht="25.2" customHeight="1" x14ac:dyDescent="0.3">
      <c r="B56" s="8">
        <v>1</v>
      </c>
      <c r="C56" s="9">
        <v>45892</v>
      </c>
      <c r="D56" s="19" t="s">
        <v>51</v>
      </c>
      <c r="E56" s="19"/>
      <c r="F56" s="19"/>
      <c r="G56" s="19"/>
      <c r="H56" s="19" t="s">
        <v>52</v>
      </c>
      <c r="I56" s="19"/>
      <c r="J56" s="19"/>
    </row>
    <row r="57" spans="2:14" ht="25.2" customHeight="1" x14ac:dyDescent="0.3">
      <c r="B57" s="8">
        <v>1.1000000000000001</v>
      </c>
      <c r="C57" s="9">
        <v>45893</v>
      </c>
      <c r="D57" s="19" t="s">
        <v>53</v>
      </c>
      <c r="E57" s="19"/>
      <c r="F57" s="19"/>
      <c r="G57" s="19"/>
      <c r="H57" s="19" t="s">
        <v>52</v>
      </c>
      <c r="I57" s="19"/>
      <c r="J57" s="19"/>
    </row>
    <row r="58" spans="2:14" ht="25.2" customHeight="1" x14ac:dyDescent="0.3">
      <c r="B58" s="8">
        <v>1.2</v>
      </c>
      <c r="C58" s="9">
        <v>45894</v>
      </c>
      <c r="D58" s="19" t="s">
        <v>54</v>
      </c>
      <c r="E58" s="19"/>
      <c r="F58" s="19"/>
      <c r="G58" s="19"/>
      <c r="H58" s="19" t="s">
        <v>56</v>
      </c>
      <c r="I58" s="19"/>
      <c r="J58" s="19"/>
    </row>
    <row r="59" spans="2:14" x14ac:dyDescent="0.3">
      <c r="H59" s="6"/>
    </row>
    <row r="60" spans="2:14" x14ac:dyDescent="0.3">
      <c r="B60" s="10"/>
    </row>
    <row r="62" spans="2:14" x14ac:dyDescent="0.3">
      <c r="N62" s="10"/>
    </row>
  </sheetData>
  <mergeCells count="66">
    <mergeCell ref="B50:J50"/>
    <mergeCell ref="B51:F51"/>
    <mergeCell ref="I51:J51"/>
    <mergeCell ref="B52:F52"/>
    <mergeCell ref="I52:J52"/>
    <mergeCell ref="B45:F45"/>
    <mergeCell ref="I45:J45"/>
    <mergeCell ref="I48:J48"/>
    <mergeCell ref="B47:F47"/>
    <mergeCell ref="I47:J47"/>
    <mergeCell ref="B46:F46"/>
    <mergeCell ref="I46:J46"/>
    <mergeCell ref="B48:H48"/>
    <mergeCell ref="B42:F42"/>
    <mergeCell ref="I42:J42"/>
    <mergeCell ref="B43:F43"/>
    <mergeCell ref="I43:J43"/>
    <mergeCell ref="I44:J44"/>
    <mergeCell ref="B44:F44"/>
    <mergeCell ref="E37:J37"/>
    <mergeCell ref="B39:J39"/>
    <mergeCell ref="B41:F41"/>
    <mergeCell ref="I40:J40"/>
    <mergeCell ref="B40:F40"/>
    <mergeCell ref="I41:J41"/>
    <mergeCell ref="B22:J22"/>
    <mergeCell ref="E36:J36"/>
    <mergeCell ref="C24:J24"/>
    <mergeCell ref="C25:J25"/>
    <mergeCell ref="B26:J26"/>
    <mergeCell ref="E27:J27"/>
    <mergeCell ref="E28:J28"/>
    <mergeCell ref="E29:J29"/>
    <mergeCell ref="B31:J31"/>
    <mergeCell ref="C32:J32"/>
    <mergeCell ref="C33:J33"/>
    <mergeCell ref="B34:J34"/>
    <mergeCell ref="E35:J35"/>
    <mergeCell ref="B15:J15"/>
    <mergeCell ref="E17:J17"/>
    <mergeCell ref="E18:J18"/>
    <mergeCell ref="E19:J19"/>
    <mergeCell ref="E20:J20"/>
    <mergeCell ref="B2:J2"/>
    <mergeCell ref="B5:J5"/>
    <mergeCell ref="E6:J6"/>
    <mergeCell ref="D55:G55"/>
    <mergeCell ref="B54:J54"/>
    <mergeCell ref="E7:J7"/>
    <mergeCell ref="E8:J8"/>
    <mergeCell ref="E9:J9"/>
    <mergeCell ref="E10:J10"/>
    <mergeCell ref="C3:J3"/>
    <mergeCell ref="C4:J4"/>
    <mergeCell ref="B23:J23"/>
    <mergeCell ref="E16:J16"/>
    <mergeCell ref="B12:J12"/>
    <mergeCell ref="C13:J13"/>
    <mergeCell ref="C14:J14"/>
    <mergeCell ref="D56:G56"/>
    <mergeCell ref="D57:G57"/>
    <mergeCell ref="D58:G58"/>
    <mergeCell ref="H55:J55"/>
    <mergeCell ref="H56:J56"/>
    <mergeCell ref="H57:J57"/>
    <mergeCell ref="H58:J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352A-0435-469A-B327-2CCE8EA9A192}">
  <dimension ref="A1:F75"/>
  <sheetViews>
    <sheetView tabSelected="1" workbookViewId="0">
      <selection activeCell="I6" sqref="I6"/>
    </sheetView>
  </sheetViews>
  <sheetFormatPr baseColWidth="10" defaultRowHeight="14.4" x14ac:dyDescent="0.3"/>
  <cols>
    <col min="1" max="1" width="36.77734375" bestFit="1" customWidth="1"/>
    <col min="2" max="6" width="13.33203125" customWidth="1"/>
  </cols>
  <sheetData>
    <row r="1" spans="1:6" ht="16.8" thickBot="1" x14ac:dyDescent="0.35">
      <c r="A1" s="50" t="s">
        <v>128</v>
      </c>
      <c r="B1" s="51"/>
      <c r="C1" s="51"/>
      <c r="D1" s="51"/>
      <c r="E1" s="51"/>
      <c r="F1" s="51"/>
    </row>
    <row r="2" spans="1:6" ht="16.2" thickBot="1" x14ac:dyDescent="0.35">
      <c r="A2" s="52" t="s">
        <v>102</v>
      </c>
      <c r="B2" s="52"/>
      <c r="C2" s="52"/>
      <c r="D2" s="52"/>
      <c r="E2" s="52"/>
      <c r="F2" s="52"/>
    </row>
    <row r="3" spans="1:6" ht="16.2" thickBot="1" x14ac:dyDescent="0.35">
      <c r="A3" s="14" t="s">
        <v>57</v>
      </c>
      <c r="B3" s="53" t="s">
        <v>58</v>
      </c>
      <c r="C3" s="54"/>
      <c r="D3" s="54"/>
      <c r="E3" s="54"/>
      <c r="F3" s="55"/>
    </row>
    <row r="4" spans="1:6" ht="16.2" thickBot="1" x14ac:dyDescent="0.35">
      <c r="A4" s="43" t="s">
        <v>103</v>
      </c>
      <c r="B4" s="43"/>
      <c r="C4" s="43"/>
      <c r="D4" s="43"/>
      <c r="E4" s="43"/>
      <c r="F4" s="43"/>
    </row>
    <row r="5" spans="1:6" ht="16.2" thickBot="1" x14ac:dyDescent="0.35">
      <c r="A5" s="15" t="s">
        <v>60</v>
      </c>
      <c r="B5" s="46" t="s">
        <v>104</v>
      </c>
      <c r="C5" s="46"/>
      <c r="D5" s="46"/>
      <c r="E5" s="46"/>
      <c r="F5" s="46"/>
    </row>
    <row r="6" spans="1:6" ht="16.2" thickBot="1" x14ac:dyDescent="0.35">
      <c r="A6" s="15" t="s">
        <v>129</v>
      </c>
      <c r="B6" s="46" t="s">
        <v>65</v>
      </c>
      <c r="C6" s="46"/>
      <c r="D6" s="46"/>
      <c r="E6" s="46"/>
      <c r="F6" s="46"/>
    </row>
    <row r="7" spans="1:6" ht="16.2" thickBot="1" x14ac:dyDescent="0.35">
      <c r="A7" s="15" t="s">
        <v>130</v>
      </c>
      <c r="B7" s="46" t="s">
        <v>105</v>
      </c>
      <c r="C7" s="46"/>
      <c r="D7" s="46"/>
      <c r="E7" s="46"/>
      <c r="F7" s="46"/>
    </row>
    <row r="8" spans="1:6" ht="16.2" thickBot="1" x14ac:dyDescent="0.35">
      <c r="A8" s="15" t="s">
        <v>131</v>
      </c>
      <c r="B8" s="46" t="s">
        <v>106</v>
      </c>
      <c r="C8" s="46"/>
      <c r="D8" s="46"/>
      <c r="E8" s="46"/>
      <c r="F8" s="46"/>
    </row>
    <row r="9" spans="1:6" ht="16.2" thickBot="1" x14ac:dyDescent="0.35">
      <c r="A9" s="16" t="s">
        <v>66</v>
      </c>
      <c r="B9" s="46" t="s">
        <v>67</v>
      </c>
      <c r="C9" s="46"/>
      <c r="D9" s="46"/>
      <c r="E9" s="46"/>
      <c r="F9" s="46"/>
    </row>
    <row r="10" spans="1:6" ht="16.2" thickBot="1" x14ac:dyDescent="0.35">
      <c r="A10" s="16" t="s">
        <v>68</v>
      </c>
      <c r="B10" s="46" t="s">
        <v>69</v>
      </c>
      <c r="C10" s="46"/>
      <c r="D10" s="46"/>
      <c r="E10" s="46"/>
      <c r="F10" s="46"/>
    </row>
    <row r="11" spans="1:6" ht="16.2" thickBot="1" x14ac:dyDescent="0.35">
      <c r="A11" s="43" t="s">
        <v>107</v>
      </c>
      <c r="B11" s="43"/>
      <c r="C11" s="43"/>
      <c r="D11" s="43"/>
      <c r="E11" s="43"/>
      <c r="F11" s="43"/>
    </row>
    <row r="12" spans="1:6" ht="16.2" thickBot="1" x14ac:dyDescent="0.35">
      <c r="A12" s="15" t="s">
        <v>109</v>
      </c>
      <c r="B12" s="46" t="s">
        <v>110</v>
      </c>
      <c r="C12" s="46"/>
      <c r="D12" s="46"/>
      <c r="E12" s="46"/>
      <c r="F12" s="46"/>
    </row>
    <row r="13" spans="1:6" ht="16.2" thickBot="1" x14ac:dyDescent="0.35">
      <c r="A13" s="15" t="s">
        <v>108</v>
      </c>
      <c r="B13" s="46" t="s">
        <v>132</v>
      </c>
      <c r="C13" s="46"/>
      <c r="D13" s="46"/>
      <c r="E13" s="46"/>
      <c r="F13" s="46"/>
    </row>
    <row r="14" spans="1:6" ht="16.2" thickBot="1" x14ac:dyDescent="0.35">
      <c r="A14" s="17" t="s">
        <v>75</v>
      </c>
      <c r="B14" s="46" t="s">
        <v>76</v>
      </c>
      <c r="C14" s="46"/>
      <c r="D14" s="46"/>
      <c r="E14" s="46"/>
      <c r="F14" s="46"/>
    </row>
    <row r="15" spans="1:6" ht="16.2" thickBot="1" x14ac:dyDescent="0.35">
      <c r="A15" s="17" t="s">
        <v>77</v>
      </c>
      <c r="B15" s="46" t="s">
        <v>78</v>
      </c>
      <c r="C15" s="46"/>
      <c r="D15" s="46"/>
      <c r="E15" s="46"/>
      <c r="F15" s="46"/>
    </row>
    <row r="16" spans="1:6" ht="16.2" thickBot="1" x14ac:dyDescent="0.35">
      <c r="A16" s="43" t="s">
        <v>111</v>
      </c>
      <c r="B16" s="43"/>
      <c r="C16" s="43"/>
      <c r="D16" s="43"/>
      <c r="E16" s="43"/>
      <c r="F16" s="43"/>
    </row>
    <row r="17" spans="1:6" ht="16.2" thickBot="1" x14ac:dyDescent="0.35">
      <c r="A17" s="47" t="s">
        <v>9</v>
      </c>
      <c r="B17" s="35" t="s">
        <v>133</v>
      </c>
      <c r="C17" s="35"/>
      <c r="D17" s="35"/>
      <c r="E17" s="35"/>
      <c r="F17" s="35"/>
    </row>
    <row r="18" spans="1:6" ht="16.2" thickBot="1" x14ac:dyDescent="0.35">
      <c r="A18" s="48"/>
      <c r="B18" s="35" t="s">
        <v>134</v>
      </c>
      <c r="C18" s="35"/>
      <c r="D18" s="35"/>
      <c r="E18" s="35"/>
      <c r="F18" s="35"/>
    </row>
    <row r="19" spans="1:6" ht="16.2" thickBot="1" x14ac:dyDescent="0.35">
      <c r="A19" s="48"/>
      <c r="B19" s="35" t="s">
        <v>135</v>
      </c>
      <c r="C19" s="35"/>
      <c r="D19" s="35"/>
      <c r="E19" s="35"/>
      <c r="F19" s="35"/>
    </row>
    <row r="20" spans="1:6" ht="16.2" thickBot="1" x14ac:dyDescent="0.35">
      <c r="A20" s="49"/>
      <c r="B20" s="35" t="s">
        <v>136</v>
      </c>
      <c r="C20" s="35"/>
      <c r="D20" s="35"/>
      <c r="E20" s="35"/>
      <c r="F20" s="35"/>
    </row>
    <row r="21" spans="1:6" ht="16.2" thickBot="1" x14ac:dyDescent="0.35">
      <c r="A21" s="43" t="s">
        <v>112</v>
      </c>
      <c r="B21" s="43"/>
      <c r="C21" s="43"/>
      <c r="D21" s="43"/>
      <c r="E21" s="43"/>
      <c r="F21" s="43"/>
    </row>
    <row r="22" spans="1:6" ht="16.2" thickBot="1" x14ac:dyDescent="0.35">
      <c r="A22" s="43" t="s">
        <v>113</v>
      </c>
      <c r="B22" s="43"/>
      <c r="C22" s="43"/>
      <c r="D22" s="43"/>
      <c r="E22" s="43"/>
      <c r="F22" s="43"/>
    </row>
    <row r="23" spans="1:6" ht="16.2" thickBot="1" x14ac:dyDescent="0.35">
      <c r="A23" s="35" t="s">
        <v>114</v>
      </c>
      <c r="B23" s="45" t="s">
        <v>115</v>
      </c>
      <c r="C23" s="45"/>
      <c r="D23" s="45"/>
      <c r="E23" s="45"/>
      <c r="F23" s="45"/>
    </row>
    <row r="24" spans="1:6" ht="16.2" thickBot="1" x14ac:dyDescent="0.35">
      <c r="A24" s="35"/>
      <c r="B24" s="45" t="s">
        <v>137</v>
      </c>
      <c r="C24" s="45"/>
      <c r="D24" s="45"/>
      <c r="E24" s="45"/>
      <c r="F24" s="45"/>
    </row>
    <row r="25" spans="1:6" ht="16.2" thickBot="1" x14ac:dyDescent="0.35">
      <c r="A25" s="35"/>
      <c r="B25" s="45" t="s">
        <v>138</v>
      </c>
      <c r="C25" s="45"/>
      <c r="D25" s="45"/>
      <c r="E25" s="45"/>
      <c r="F25" s="45"/>
    </row>
    <row r="26" spans="1:6" ht="16.2" thickBot="1" x14ac:dyDescent="0.35">
      <c r="A26" s="35"/>
      <c r="B26" s="45" t="s">
        <v>116</v>
      </c>
      <c r="C26" s="45"/>
      <c r="D26" s="45"/>
      <c r="E26" s="45"/>
      <c r="F26" s="45"/>
    </row>
    <row r="27" spans="1:6" ht="16.2" thickBot="1" x14ac:dyDescent="0.35">
      <c r="A27" s="35"/>
      <c r="B27" s="44"/>
      <c r="C27" s="44"/>
      <c r="D27" s="44"/>
      <c r="E27" s="44"/>
      <c r="F27" s="44"/>
    </row>
    <row r="28" spans="1:6" ht="16.2" thickBot="1" x14ac:dyDescent="0.35">
      <c r="A28" s="35" t="s">
        <v>117</v>
      </c>
      <c r="B28" s="44" t="s">
        <v>139</v>
      </c>
      <c r="C28" s="44"/>
      <c r="D28" s="44"/>
      <c r="E28" s="44"/>
      <c r="F28" s="44"/>
    </row>
    <row r="29" spans="1:6" ht="16.2" thickBot="1" x14ac:dyDescent="0.35">
      <c r="A29" s="35"/>
      <c r="B29" s="44" t="s">
        <v>140</v>
      </c>
      <c r="C29" s="44"/>
      <c r="D29" s="44"/>
      <c r="E29" s="44"/>
      <c r="F29" s="44"/>
    </row>
    <row r="30" spans="1:6" ht="16.2" thickBot="1" x14ac:dyDescent="0.35">
      <c r="A30" s="35"/>
      <c r="B30" s="44" t="s">
        <v>141</v>
      </c>
      <c r="C30" s="44"/>
      <c r="D30" s="44"/>
      <c r="E30" s="44"/>
      <c r="F30" s="44"/>
    </row>
    <row r="31" spans="1:6" ht="16.2" thickBot="1" x14ac:dyDescent="0.35">
      <c r="A31" s="35"/>
      <c r="B31" s="44" t="s">
        <v>118</v>
      </c>
      <c r="C31" s="44"/>
      <c r="D31" s="44"/>
      <c r="E31" s="44"/>
      <c r="F31" s="44"/>
    </row>
    <row r="32" spans="1:6" ht="16.2" thickBot="1" x14ac:dyDescent="0.35">
      <c r="A32" s="35"/>
      <c r="B32" s="44" t="s">
        <v>141</v>
      </c>
      <c r="C32" s="44"/>
      <c r="D32" s="44"/>
      <c r="E32" s="44"/>
      <c r="F32" s="44"/>
    </row>
    <row r="33" spans="1:6" ht="16.2" thickBot="1" x14ac:dyDescent="0.35">
      <c r="A33" s="35"/>
      <c r="B33" s="35"/>
      <c r="C33" s="35"/>
      <c r="D33" s="35"/>
      <c r="E33" s="35"/>
      <c r="F33" s="35"/>
    </row>
    <row r="34" spans="1:6" ht="16.2" thickBot="1" x14ac:dyDescent="0.35">
      <c r="A34" s="35" t="s">
        <v>119</v>
      </c>
      <c r="B34" s="44" t="s">
        <v>120</v>
      </c>
      <c r="C34" s="44"/>
      <c r="D34" s="44"/>
      <c r="E34" s="44"/>
      <c r="F34" s="44"/>
    </row>
    <row r="35" spans="1:6" ht="16.2" thickBot="1" x14ac:dyDescent="0.35">
      <c r="A35" s="35"/>
      <c r="B35" s="44" t="s">
        <v>121</v>
      </c>
      <c r="C35" s="44"/>
      <c r="D35" s="44"/>
      <c r="E35" s="44"/>
      <c r="F35" s="44"/>
    </row>
    <row r="36" spans="1:6" ht="16.2" thickBot="1" x14ac:dyDescent="0.35">
      <c r="A36" s="35"/>
      <c r="B36" s="35"/>
      <c r="C36" s="35"/>
      <c r="D36" s="35"/>
      <c r="E36" s="35"/>
      <c r="F36" s="35"/>
    </row>
    <row r="37" spans="1:6" ht="16.2" thickBot="1" x14ac:dyDescent="0.35">
      <c r="A37" s="43" t="s">
        <v>122</v>
      </c>
      <c r="B37" s="43"/>
      <c r="C37" s="43"/>
      <c r="D37" s="43"/>
      <c r="E37" s="43"/>
      <c r="F37" s="43"/>
    </row>
    <row r="38" spans="1:6" ht="16.2" thickBot="1" x14ac:dyDescent="0.35">
      <c r="A38" s="35" t="s">
        <v>114</v>
      </c>
      <c r="B38" s="36" t="s">
        <v>142</v>
      </c>
      <c r="C38" s="36"/>
      <c r="D38" s="36"/>
      <c r="E38" s="36"/>
      <c r="F38" s="36"/>
    </row>
    <row r="39" spans="1:6" ht="16.2" thickBot="1" x14ac:dyDescent="0.35">
      <c r="A39" s="35"/>
      <c r="B39" s="36" t="s">
        <v>143</v>
      </c>
      <c r="C39" s="36"/>
      <c r="D39" s="36"/>
      <c r="E39" s="36"/>
      <c r="F39" s="36"/>
    </row>
    <row r="40" spans="1:6" ht="16.2" thickBot="1" x14ac:dyDescent="0.35">
      <c r="A40" s="35"/>
      <c r="B40" s="36" t="s">
        <v>144</v>
      </c>
      <c r="C40" s="36"/>
      <c r="D40" s="36"/>
      <c r="E40" s="36"/>
      <c r="F40" s="36"/>
    </row>
    <row r="41" spans="1:6" ht="16.2" thickBot="1" x14ac:dyDescent="0.35">
      <c r="A41" s="35"/>
      <c r="B41" s="44"/>
      <c r="C41" s="44"/>
      <c r="D41" s="44"/>
      <c r="E41" s="44"/>
      <c r="F41" s="44"/>
    </row>
    <row r="42" spans="1:6" ht="16.2" thickBot="1" x14ac:dyDescent="0.35">
      <c r="A42" s="35" t="s">
        <v>123</v>
      </c>
      <c r="B42" s="36" t="s">
        <v>145</v>
      </c>
      <c r="C42" s="36"/>
      <c r="D42" s="36"/>
      <c r="E42" s="36"/>
      <c r="F42" s="36"/>
    </row>
    <row r="43" spans="1:6" ht="16.2" thickBot="1" x14ac:dyDescent="0.35">
      <c r="A43" s="35"/>
      <c r="B43" s="36" t="s">
        <v>146</v>
      </c>
      <c r="C43" s="36"/>
      <c r="D43" s="36"/>
      <c r="E43" s="36"/>
      <c r="F43" s="36"/>
    </row>
    <row r="44" spans="1:6" ht="16.2" thickBot="1" x14ac:dyDescent="0.35">
      <c r="A44" s="35"/>
      <c r="B44" s="35"/>
      <c r="C44" s="35"/>
      <c r="D44" s="35"/>
      <c r="E44" s="35"/>
      <c r="F44" s="35"/>
    </row>
    <row r="45" spans="1:6" ht="16.2" thickBot="1" x14ac:dyDescent="0.35">
      <c r="A45" s="18" t="s">
        <v>119</v>
      </c>
      <c r="B45" s="35" t="s">
        <v>124</v>
      </c>
      <c r="C45" s="35"/>
      <c r="D45" s="35"/>
      <c r="E45" s="35"/>
      <c r="F45" s="35"/>
    </row>
    <row r="46" spans="1:6" ht="16.2" thickBot="1" x14ac:dyDescent="0.35">
      <c r="A46" s="43" t="s">
        <v>147</v>
      </c>
      <c r="B46" s="43"/>
      <c r="C46" s="43"/>
      <c r="D46" s="43"/>
      <c r="E46" s="43"/>
      <c r="F46" s="43"/>
    </row>
    <row r="47" spans="1:6" ht="16.2" thickBot="1" x14ac:dyDescent="0.35">
      <c r="A47" s="35" t="s">
        <v>125</v>
      </c>
      <c r="B47" s="36" t="s">
        <v>148</v>
      </c>
      <c r="C47" s="36"/>
      <c r="D47" s="36"/>
      <c r="E47" s="36"/>
      <c r="F47" s="36"/>
    </row>
    <row r="48" spans="1:6" ht="16.2" thickBot="1" x14ac:dyDescent="0.35">
      <c r="A48" s="35"/>
      <c r="B48" s="36" t="s">
        <v>149</v>
      </c>
      <c r="C48" s="36"/>
      <c r="D48" s="36"/>
      <c r="E48" s="36"/>
      <c r="F48" s="36"/>
    </row>
    <row r="49" spans="1:6" ht="16.2" thickBot="1" x14ac:dyDescent="0.35">
      <c r="A49" s="35"/>
      <c r="B49" s="36" t="s">
        <v>150</v>
      </c>
      <c r="C49" s="36"/>
      <c r="D49" s="36"/>
      <c r="E49" s="36"/>
      <c r="F49" s="36"/>
    </row>
    <row r="50" spans="1:6" ht="16.2" thickBot="1" x14ac:dyDescent="0.35">
      <c r="A50" s="35"/>
      <c r="B50" s="36" t="s">
        <v>151</v>
      </c>
      <c r="C50" s="36"/>
      <c r="D50" s="36"/>
      <c r="E50" s="36"/>
      <c r="F50" s="36"/>
    </row>
    <row r="51" spans="1:6" ht="16.2" thickBot="1" x14ac:dyDescent="0.35">
      <c r="A51" s="35"/>
      <c r="B51" s="36" t="s">
        <v>152</v>
      </c>
      <c r="C51" s="36"/>
      <c r="D51" s="36"/>
      <c r="E51" s="36"/>
      <c r="F51" s="36"/>
    </row>
    <row r="52" spans="1:6" ht="16.2" thickBot="1" x14ac:dyDescent="0.35">
      <c r="A52" s="35"/>
      <c r="B52" s="36" t="s">
        <v>153</v>
      </c>
      <c r="C52" s="36"/>
      <c r="D52" s="36"/>
      <c r="E52" s="36"/>
      <c r="F52" s="36"/>
    </row>
    <row r="53" spans="1:6" ht="16.2" thickBot="1" x14ac:dyDescent="0.35">
      <c r="A53" s="35"/>
      <c r="B53" s="36" t="s">
        <v>154</v>
      </c>
      <c r="C53" s="36"/>
      <c r="D53" s="36"/>
      <c r="E53" s="36"/>
      <c r="F53" s="36"/>
    </row>
    <row r="54" spans="1:6" ht="16.2" thickBot="1" x14ac:dyDescent="0.35">
      <c r="A54" s="35"/>
      <c r="B54" s="36" t="s">
        <v>155</v>
      </c>
      <c r="C54" s="36"/>
      <c r="D54" s="36"/>
      <c r="E54" s="36"/>
      <c r="F54" s="36"/>
    </row>
    <row r="55" spans="1:6" ht="16.2" thickBot="1" x14ac:dyDescent="0.35">
      <c r="A55" s="35"/>
      <c r="B55" s="36" t="s">
        <v>156</v>
      </c>
      <c r="C55" s="36"/>
      <c r="D55" s="36"/>
      <c r="E55" s="36"/>
      <c r="F55" s="36"/>
    </row>
    <row r="56" spans="1:6" ht="16.2" thickBot="1" x14ac:dyDescent="0.35">
      <c r="A56" s="35"/>
      <c r="B56" s="36" t="s">
        <v>157</v>
      </c>
      <c r="C56" s="36"/>
      <c r="D56" s="36"/>
      <c r="E56" s="36"/>
      <c r="F56" s="36"/>
    </row>
    <row r="57" spans="1:6" ht="16.2" thickBot="1" x14ac:dyDescent="0.35">
      <c r="A57" s="35"/>
      <c r="B57" s="36" t="s">
        <v>158</v>
      </c>
      <c r="C57" s="36"/>
      <c r="D57" s="36"/>
      <c r="E57" s="36"/>
      <c r="F57" s="36"/>
    </row>
    <row r="58" spans="1:6" ht="16.2" thickBot="1" x14ac:dyDescent="0.35">
      <c r="A58" s="35"/>
      <c r="B58" s="36" t="s">
        <v>159</v>
      </c>
      <c r="C58" s="36"/>
      <c r="D58" s="36"/>
      <c r="E58" s="36"/>
      <c r="F58" s="36"/>
    </row>
    <row r="59" spans="1:6" ht="16.2" thickBot="1" x14ac:dyDescent="0.35">
      <c r="A59" s="35"/>
      <c r="B59" s="36" t="s">
        <v>160</v>
      </c>
      <c r="C59" s="36"/>
      <c r="D59" s="36"/>
      <c r="E59" s="36"/>
      <c r="F59" s="36"/>
    </row>
    <row r="60" spans="1:6" ht="16.2" thickBot="1" x14ac:dyDescent="0.35">
      <c r="A60" s="35"/>
      <c r="B60" s="36" t="s">
        <v>161</v>
      </c>
      <c r="C60" s="36"/>
      <c r="D60" s="36"/>
      <c r="E60" s="36"/>
      <c r="F60" s="36"/>
    </row>
    <row r="61" spans="1:6" ht="16.2" thickBot="1" x14ac:dyDescent="0.35">
      <c r="A61" s="35"/>
      <c r="B61" s="35"/>
      <c r="C61" s="35"/>
      <c r="D61" s="35"/>
      <c r="E61" s="35"/>
      <c r="F61" s="35"/>
    </row>
    <row r="62" spans="1:6" ht="16.2" thickBot="1" x14ac:dyDescent="0.35">
      <c r="A62" s="35" t="s">
        <v>126</v>
      </c>
      <c r="B62" s="36" t="s">
        <v>162</v>
      </c>
      <c r="C62" s="36"/>
      <c r="D62" s="36"/>
      <c r="E62" s="36"/>
      <c r="F62" s="36"/>
    </row>
    <row r="63" spans="1:6" ht="16.2" thickBot="1" x14ac:dyDescent="0.35">
      <c r="A63" s="35"/>
      <c r="B63" s="36" t="s">
        <v>163</v>
      </c>
      <c r="C63" s="36"/>
      <c r="D63" s="36"/>
      <c r="E63" s="36"/>
      <c r="F63" s="36"/>
    </row>
    <row r="64" spans="1:6" ht="16.2" thickBot="1" x14ac:dyDescent="0.35">
      <c r="A64" s="35"/>
      <c r="B64" s="36" t="s">
        <v>164</v>
      </c>
      <c r="C64" s="36"/>
      <c r="D64" s="36"/>
      <c r="E64" s="36"/>
      <c r="F64" s="36"/>
    </row>
    <row r="65" spans="1:6" ht="16.2" thickBot="1" x14ac:dyDescent="0.35">
      <c r="A65" s="35"/>
      <c r="B65" s="36" t="s">
        <v>165</v>
      </c>
      <c r="C65" s="36"/>
      <c r="D65" s="36"/>
      <c r="E65" s="36"/>
      <c r="F65" s="36"/>
    </row>
    <row r="66" spans="1:6" ht="16.2" thickBot="1" x14ac:dyDescent="0.35">
      <c r="A66" s="35"/>
      <c r="B66" s="36" t="s">
        <v>166</v>
      </c>
      <c r="C66" s="36"/>
      <c r="D66" s="36"/>
      <c r="E66" s="36"/>
      <c r="F66" s="36"/>
    </row>
    <row r="67" spans="1:6" ht="16.2" thickBot="1" x14ac:dyDescent="0.35">
      <c r="A67" s="35"/>
      <c r="B67" s="36" t="s">
        <v>167</v>
      </c>
      <c r="C67" s="36"/>
      <c r="D67" s="36"/>
      <c r="E67" s="36"/>
      <c r="F67" s="36"/>
    </row>
    <row r="68" spans="1:6" ht="16.2" thickBot="1" x14ac:dyDescent="0.35">
      <c r="A68" s="35"/>
      <c r="B68" s="36" t="s">
        <v>168</v>
      </c>
      <c r="C68" s="36"/>
      <c r="D68" s="36"/>
      <c r="E68" s="36"/>
      <c r="F68" s="36"/>
    </row>
    <row r="69" spans="1:6" ht="16.2" thickBot="1" x14ac:dyDescent="0.35">
      <c r="A69" s="35"/>
      <c r="B69" s="36" t="s">
        <v>169</v>
      </c>
      <c r="C69" s="36"/>
      <c r="D69" s="36"/>
      <c r="E69" s="36"/>
      <c r="F69" s="36"/>
    </row>
    <row r="70" spans="1:6" ht="16.2" thickBot="1" x14ac:dyDescent="0.35">
      <c r="A70" s="35"/>
      <c r="B70" s="35"/>
      <c r="C70" s="35"/>
      <c r="D70" s="35"/>
      <c r="E70" s="35"/>
      <c r="F70" s="35"/>
    </row>
    <row r="71" spans="1:6" ht="16.2" thickBot="1" x14ac:dyDescent="0.35">
      <c r="A71" s="35" t="s">
        <v>127</v>
      </c>
      <c r="B71" s="36" t="s">
        <v>170</v>
      </c>
      <c r="C71" s="36"/>
      <c r="D71" s="36"/>
      <c r="E71" s="36"/>
      <c r="F71" s="36"/>
    </row>
    <row r="72" spans="1:6" ht="16.2" thickBot="1" x14ac:dyDescent="0.35">
      <c r="A72" s="35"/>
      <c r="B72" s="36" t="s">
        <v>171</v>
      </c>
      <c r="C72" s="36"/>
      <c r="D72" s="36"/>
      <c r="E72" s="36"/>
      <c r="F72" s="36"/>
    </row>
    <row r="73" spans="1:6" ht="16.2" thickBot="1" x14ac:dyDescent="0.35">
      <c r="A73" s="35"/>
      <c r="B73" s="35"/>
      <c r="C73" s="35"/>
      <c r="D73" s="35"/>
      <c r="E73" s="35"/>
      <c r="F73" s="35"/>
    </row>
    <row r="74" spans="1:6" ht="15" thickBot="1" x14ac:dyDescent="0.35">
      <c r="A74" s="37" t="s">
        <v>172</v>
      </c>
      <c r="B74" s="38"/>
      <c r="C74" s="38"/>
      <c r="D74" s="38"/>
      <c r="E74" s="38"/>
      <c r="F74" s="39"/>
    </row>
    <row r="75" spans="1:6" ht="15" thickBot="1" x14ac:dyDescent="0.35">
      <c r="A75" s="40"/>
      <c r="B75" s="41"/>
      <c r="C75" s="41"/>
      <c r="D75" s="41"/>
      <c r="E75" s="41"/>
      <c r="F75" s="42"/>
    </row>
  </sheetData>
  <mergeCells count="84">
    <mergeCell ref="B12:F12"/>
    <mergeCell ref="A1:F1"/>
    <mergeCell ref="A2:F2"/>
    <mergeCell ref="B3:F3"/>
    <mergeCell ref="A4:F4"/>
    <mergeCell ref="B5:F5"/>
    <mergeCell ref="B6:F6"/>
    <mergeCell ref="B7:F7"/>
    <mergeCell ref="B8:F8"/>
    <mergeCell ref="B9:F9"/>
    <mergeCell ref="B10:F10"/>
    <mergeCell ref="A11:F11"/>
    <mergeCell ref="B13:F13"/>
    <mergeCell ref="B14:F14"/>
    <mergeCell ref="B15:F15"/>
    <mergeCell ref="A16:F16"/>
    <mergeCell ref="A17:A20"/>
    <mergeCell ref="B17:F17"/>
    <mergeCell ref="B18:F18"/>
    <mergeCell ref="B19:F19"/>
    <mergeCell ref="B20:F20"/>
    <mergeCell ref="A21:F21"/>
    <mergeCell ref="A22:F22"/>
    <mergeCell ref="A23:A27"/>
    <mergeCell ref="B23:F23"/>
    <mergeCell ref="B24:F24"/>
    <mergeCell ref="B25:F25"/>
    <mergeCell ref="B26:F26"/>
    <mergeCell ref="B27:F27"/>
    <mergeCell ref="A28:A33"/>
    <mergeCell ref="B28:F28"/>
    <mergeCell ref="B29:F29"/>
    <mergeCell ref="B30:F30"/>
    <mergeCell ref="B31:F31"/>
    <mergeCell ref="B32:F32"/>
    <mergeCell ref="B33:F33"/>
    <mergeCell ref="A46:F46"/>
    <mergeCell ref="A34:A36"/>
    <mergeCell ref="B34:F34"/>
    <mergeCell ref="B35:F35"/>
    <mergeCell ref="B36:F36"/>
    <mergeCell ref="A37:F37"/>
    <mergeCell ref="A38:A41"/>
    <mergeCell ref="B38:F38"/>
    <mergeCell ref="B39:F39"/>
    <mergeCell ref="B40:F40"/>
    <mergeCell ref="B41:F41"/>
    <mergeCell ref="A42:A44"/>
    <mergeCell ref="B42:F42"/>
    <mergeCell ref="B43:F43"/>
    <mergeCell ref="B44:F44"/>
    <mergeCell ref="B45:F45"/>
    <mergeCell ref="B61:F61"/>
    <mergeCell ref="A47:A61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A75:F75"/>
    <mergeCell ref="A62:A70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A71:A73"/>
    <mergeCell ref="B71:F71"/>
    <mergeCell ref="B72:F72"/>
    <mergeCell ref="B73:F73"/>
    <mergeCell ref="A74:F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0A3E-979E-4B43-A305-141E3F4E4F28}">
  <dimension ref="A1:B28"/>
  <sheetViews>
    <sheetView workbookViewId="0">
      <selection activeCell="C15" sqref="C15"/>
    </sheetView>
  </sheetViews>
  <sheetFormatPr baseColWidth="10" defaultRowHeight="14.4" x14ac:dyDescent="0.3"/>
  <cols>
    <col min="1" max="1" width="26.88671875" bestFit="1" customWidth="1"/>
    <col min="2" max="2" width="48.33203125" bestFit="1" customWidth="1"/>
  </cols>
  <sheetData>
    <row r="1" spans="1:2" x14ac:dyDescent="0.3">
      <c r="A1" s="11" t="s">
        <v>57</v>
      </c>
      <c r="B1" s="11" t="s">
        <v>58</v>
      </c>
    </row>
    <row r="2" spans="1:2" x14ac:dyDescent="0.3">
      <c r="A2" s="58" t="s">
        <v>59</v>
      </c>
      <c r="B2" s="58"/>
    </row>
    <row r="3" spans="1:2" x14ac:dyDescent="0.3">
      <c r="A3" s="12" t="s">
        <v>60</v>
      </c>
      <c r="B3" s="12" t="s">
        <v>61</v>
      </c>
    </row>
    <row r="4" spans="1:2" x14ac:dyDescent="0.3">
      <c r="A4" s="12" t="s">
        <v>62</v>
      </c>
      <c r="B4" s="12" t="s">
        <v>63</v>
      </c>
    </row>
    <row r="5" spans="1:2" ht="27.6" x14ac:dyDescent="0.3">
      <c r="A5" s="12" t="s">
        <v>64</v>
      </c>
      <c r="B5" s="13" t="s">
        <v>65</v>
      </c>
    </row>
    <row r="6" spans="1:2" x14ac:dyDescent="0.3">
      <c r="A6" s="12" t="s">
        <v>66</v>
      </c>
      <c r="B6" s="12" t="s">
        <v>67</v>
      </c>
    </row>
    <row r="7" spans="1:2" x14ac:dyDescent="0.3">
      <c r="A7" s="12" t="s">
        <v>68</v>
      </c>
      <c r="B7" s="12" t="s">
        <v>69</v>
      </c>
    </row>
    <row r="8" spans="1:2" x14ac:dyDescent="0.3">
      <c r="A8" s="56" t="s">
        <v>70</v>
      </c>
      <c r="B8" s="56"/>
    </row>
    <row r="9" spans="1:2" ht="41.4" x14ac:dyDescent="0.3">
      <c r="A9" s="12" t="s">
        <v>71</v>
      </c>
      <c r="B9" s="13" t="s">
        <v>72</v>
      </c>
    </row>
    <row r="10" spans="1:2" ht="41.4" x14ac:dyDescent="0.3">
      <c r="A10" s="12" t="s">
        <v>73</v>
      </c>
      <c r="B10" s="13" t="s">
        <v>74</v>
      </c>
    </row>
    <row r="11" spans="1:2" ht="41.4" x14ac:dyDescent="0.3">
      <c r="A11" s="12" t="s">
        <v>75</v>
      </c>
      <c r="B11" s="13" t="s">
        <v>76</v>
      </c>
    </row>
    <row r="12" spans="1:2" ht="55.2" x14ac:dyDescent="0.3">
      <c r="A12" s="12" t="s">
        <v>77</v>
      </c>
      <c r="B12" s="13" t="s">
        <v>78</v>
      </c>
    </row>
    <row r="13" spans="1:2" x14ac:dyDescent="0.3">
      <c r="A13" s="58" t="s">
        <v>79</v>
      </c>
      <c r="B13" s="58"/>
    </row>
    <row r="14" spans="1:2" x14ac:dyDescent="0.3">
      <c r="A14" s="12" t="s">
        <v>80</v>
      </c>
      <c r="B14" s="12" t="s">
        <v>81</v>
      </c>
    </row>
    <row r="15" spans="1:2" x14ac:dyDescent="0.3">
      <c r="A15" s="12" t="s">
        <v>82</v>
      </c>
      <c r="B15" s="12" t="s">
        <v>83</v>
      </c>
    </row>
    <row r="16" spans="1:2" x14ac:dyDescent="0.3">
      <c r="A16" s="12" t="s">
        <v>84</v>
      </c>
      <c r="B16" s="12" t="s">
        <v>85</v>
      </c>
    </row>
    <row r="17" spans="1:2" x14ac:dyDescent="0.3">
      <c r="A17" s="12" t="s">
        <v>86</v>
      </c>
      <c r="B17" s="12" t="s">
        <v>87</v>
      </c>
    </row>
    <row r="18" spans="1:2" x14ac:dyDescent="0.3">
      <c r="A18" s="12" t="s">
        <v>88</v>
      </c>
      <c r="B18" s="12" t="s">
        <v>89</v>
      </c>
    </row>
    <row r="19" spans="1:2" x14ac:dyDescent="0.3">
      <c r="A19" s="56" t="s">
        <v>90</v>
      </c>
      <c r="B19" s="56"/>
    </row>
    <row r="20" spans="1:2" ht="41.4" x14ac:dyDescent="0.3">
      <c r="A20" s="12" t="s">
        <v>91</v>
      </c>
      <c r="B20" s="13" t="s">
        <v>92</v>
      </c>
    </row>
    <row r="21" spans="1:2" ht="41.4" x14ac:dyDescent="0.3">
      <c r="A21" s="12" t="s">
        <v>93</v>
      </c>
      <c r="B21" s="13" t="s">
        <v>94</v>
      </c>
    </row>
    <row r="22" spans="1:2" x14ac:dyDescent="0.3">
      <c r="A22" s="59" t="s">
        <v>95</v>
      </c>
      <c r="B22" s="59"/>
    </row>
    <row r="23" spans="1:2" x14ac:dyDescent="0.3">
      <c r="A23" s="60"/>
      <c r="B23" s="60"/>
    </row>
    <row r="24" spans="1:2" x14ac:dyDescent="0.3">
      <c r="A24" s="56" t="s">
        <v>96</v>
      </c>
      <c r="B24" s="56"/>
    </row>
    <row r="25" spans="1:2" x14ac:dyDescent="0.3">
      <c r="A25" s="57"/>
      <c r="B25" s="57"/>
    </row>
    <row r="26" spans="1:2" x14ac:dyDescent="0.3">
      <c r="A26" s="58" t="s">
        <v>97</v>
      </c>
      <c r="B26" s="58"/>
    </row>
    <row r="27" spans="1:2" ht="41.4" x14ac:dyDescent="0.3">
      <c r="A27" s="12" t="s">
        <v>98</v>
      </c>
      <c r="B27" s="13" t="s">
        <v>99</v>
      </c>
    </row>
    <row r="28" spans="1:2" x14ac:dyDescent="0.3">
      <c r="A28" s="12" t="s">
        <v>100</v>
      </c>
      <c r="B28" s="12" t="s">
        <v>101</v>
      </c>
    </row>
  </sheetData>
  <mergeCells count="9">
    <mergeCell ref="A24:B24"/>
    <mergeCell ref="A25:B25"/>
    <mergeCell ref="A26:B26"/>
    <mergeCell ref="A2:B2"/>
    <mergeCell ref="A8:B8"/>
    <mergeCell ref="A13:B13"/>
    <mergeCell ref="A19:B19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técnica de costos</vt:lpstr>
      <vt:lpstr>Ficha técnica general</vt:lpstr>
      <vt:lpstr>Ficha técnica borrador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MONTIEL BRUN</dc:creator>
  <cp:lastModifiedBy>GERSON JONNATHAN LOPEZ OVIEDO</cp:lastModifiedBy>
  <dcterms:created xsi:type="dcterms:W3CDTF">2025-08-12T19:57:35Z</dcterms:created>
  <dcterms:modified xsi:type="dcterms:W3CDTF">2025-08-24T21:04:10Z</dcterms:modified>
</cp:coreProperties>
</file>