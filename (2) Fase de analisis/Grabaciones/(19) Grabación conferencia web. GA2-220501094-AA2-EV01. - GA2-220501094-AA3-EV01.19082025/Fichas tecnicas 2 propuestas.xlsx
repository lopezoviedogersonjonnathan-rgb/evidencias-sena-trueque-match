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ndra\Desktop\SENA OFICIAL\(1) Fases\(2) Fase de analisis\Grabaciones\(19) Grabación conferencia web. GA2-220501094-AA2-EV01. - GA2-220501094-AA3-EV01.19082025\"/>
    </mc:Choice>
  </mc:AlternateContent>
  <xr:revisionPtr revIDLastSave="0" documentId="13_ncr:1_{0A08093C-6A9E-45C2-85B8-DE2BA947AFBD}" xr6:coauthVersionLast="47" xr6:coauthVersionMax="47" xr10:uidLastSave="{00000000-0000-0000-0000-000000000000}"/>
  <bookViews>
    <workbookView xWindow="-108" yWindow="-108" windowWidth="23256" windowHeight="12576" activeTab="1" xr2:uid="{1E5ABD9B-7BAE-4744-85E1-41FEE5C6BC6C}"/>
  </bookViews>
  <sheets>
    <sheet name="Hoja1" sheetId="1" r:id="rId1"/>
    <sheet name="PROPUESTAS TECNICAS" sheetId="2" r:id="rId2"/>
    <sheet name="Hoja3" sheetId="3" r:id="rId3"/>
  </sheets>
  <definedNames>
    <definedName name="_xlnm._FilterDatabase" localSheetId="1" hidden="1">'PROPUESTAS TECNICAS'!$A$5:$D$21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3" i="1" l="1"/>
  <c r="H55" i="1"/>
  <c r="H57" i="1" s="1"/>
  <c r="C135" i="1"/>
  <c r="H128" i="1"/>
  <c r="H126" i="1"/>
  <c r="H127" i="1"/>
</calcChain>
</file>

<file path=xl/sharedStrings.xml><?xml version="1.0" encoding="utf-8"?>
<sst xmlns="http://schemas.openxmlformats.org/spreadsheetml/2006/main" count="423" uniqueCount="179">
  <si>
    <t>Dispositivo</t>
  </si>
  <si>
    <t xml:space="preserve">Servidor </t>
  </si>
  <si>
    <t>Proyecto</t>
  </si>
  <si>
    <t>Cantidad</t>
  </si>
  <si>
    <t>Componente</t>
  </si>
  <si>
    <t>Descripción</t>
  </si>
  <si>
    <t>Monitor</t>
  </si>
  <si>
    <t>16" o superior - Resolución de pantalla 1024 x 768</t>
  </si>
  <si>
    <t>CPU</t>
  </si>
  <si>
    <t>Teclado</t>
  </si>
  <si>
    <t>RAM</t>
  </si>
  <si>
    <t>12GB</t>
  </si>
  <si>
    <t xml:space="preserve">Cliente </t>
  </si>
  <si>
    <t>Procesador Core I7 o superior</t>
  </si>
  <si>
    <t>8GB</t>
  </si>
  <si>
    <t>Licencia propietario</t>
  </si>
  <si>
    <t>Licencia Libre</t>
  </si>
  <si>
    <t>Costos directos</t>
  </si>
  <si>
    <t>Actividad</t>
  </si>
  <si>
    <t>Desarrollo del software</t>
  </si>
  <si>
    <t>Licencia de desarrollo</t>
  </si>
  <si>
    <t>Capacitación</t>
  </si>
  <si>
    <t>Total</t>
  </si>
  <si>
    <t>Costos indirectos</t>
  </si>
  <si>
    <t>Internet</t>
  </si>
  <si>
    <t>TRUEQUE MATCH</t>
  </si>
  <si>
    <t>Portátil Acer Core i7</t>
  </si>
  <si>
    <t>16" o superior – Resolución 1024x768</t>
  </si>
  <si>
    <t>Procesador Core i9 o superior</t>
  </si>
  <si>
    <t>PostgreSQL</t>
  </si>
  <si>
    <t>Observaciones</t>
  </si>
  <si>
    <t>Sistema operativo Linux (Ubuntu)</t>
  </si>
  <si>
    <t>Node.js v18+</t>
  </si>
  <si>
    <t>Nginx</t>
  </si>
  <si>
    <t>GitHub (plan básico)</t>
  </si>
  <si>
    <t>Certificado SSL (Let’s Encrypt)</t>
  </si>
  <si>
    <t>Microsoft Office 365</t>
  </si>
  <si>
    <t>Linux Ubuntu</t>
  </si>
  <si>
    <t>Navegadores (Chrome, Firefox, Edge)</t>
  </si>
  <si>
    <t>App móvil TRUEQUE MATCH (beta)</t>
  </si>
  <si>
    <t>Equipo Principal de desarrollo</t>
  </si>
  <si>
    <t>Requerido para alto rendimiento</t>
  </si>
  <si>
    <t>Entrada de datos estándar</t>
  </si>
  <si>
    <t>Mejora el desempeño en programación y pruebas</t>
  </si>
  <si>
    <t>Celulares Xiaomi</t>
  </si>
  <si>
    <t>Celular Redmi 4.0 (2GB)</t>
  </si>
  <si>
    <t>Para pruebas de la app</t>
  </si>
  <si>
    <t>representa que cualquier usuario necesita una pantalla adecuada para ver bien la aplicación (ya sea en un PC o en un celular moderno con buena resolución).</t>
  </si>
  <si>
    <t>significa que el dispositivo de prueba (PC o celular) debe tener memoria suficiente para navegar de forma fluida y no quedarse pegado.</t>
  </si>
  <si>
    <t>representa el método de entrada (el teclado en PC o el teclado táctil en celular).</t>
  </si>
  <si>
    <t>simboliza que el usuario debe tener un equipo con la capacidad suficiente para correr la app de prueba en un computador (aunque en la realidad, la mayoría lo haría en el celular)</t>
  </si>
  <si>
    <t>PC i3</t>
  </si>
  <si>
    <t>Procesador Core i3, 4 GB RAM</t>
  </si>
  <si>
    <t>Pruebas en navegadores web</t>
  </si>
  <si>
    <r>
      <t xml:space="preserve">Es un </t>
    </r>
    <r>
      <rPr>
        <b/>
        <sz val="11"/>
        <color theme="1"/>
        <rFont val="Calibri"/>
        <family val="2"/>
        <scheme val="minor"/>
      </rPr>
      <t>sistema operativo gratuito</t>
    </r>
    <r>
      <rPr>
        <sz val="11"/>
        <color theme="1"/>
        <rFont val="Calibri"/>
        <family val="2"/>
        <scheme val="minor"/>
      </rPr>
      <t xml:space="preserve"> (como Windows, pero libre). Es la “base” donde corre todo en un PC. Lo usamos para simular que cualquier persona podría probar la aplicación sin pagar licencias de Windows.</t>
    </r>
  </si>
  <si>
    <r>
      <t xml:space="preserve">Son los </t>
    </r>
    <r>
      <rPr>
        <b/>
        <sz val="11"/>
        <color theme="1"/>
        <rFont val="Calibri"/>
        <family val="2"/>
        <scheme val="minor"/>
      </rPr>
      <t>puentes de entrada</t>
    </r>
    <r>
      <rPr>
        <sz val="11"/>
        <color theme="1"/>
        <rFont val="Calibri"/>
        <family val="2"/>
        <scheme val="minor"/>
      </rPr>
      <t xml:space="preserve"> a la aplicación desde internet. Representan cómo los usuarios accederán a la app Trueque Match en versión web.</t>
    </r>
  </si>
  <si>
    <r>
      <t xml:space="preserve">Un </t>
    </r>
    <r>
      <rPr>
        <b/>
        <sz val="11"/>
        <color theme="1"/>
        <rFont val="Calibri"/>
        <family val="2"/>
        <scheme val="minor"/>
      </rPr>
      <t>gran cuaderno digital</t>
    </r>
    <r>
      <rPr>
        <sz val="11"/>
        <color theme="1"/>
        <rFont val="Calibri"/>
        <family val="2"/>
        <scheme val="minor"/>
      </rPr>
      <t xml:space="preserve"> que guarda toda la información (usuarios, ofertas, intercambios). Es la base de datos de la aplicación.</t>
    </r>
  </si>
  <si>
    <r>
      <t xml:space="preserve">El </t>
    </r>
    <r>
      <rPr>
        <b/>
        <sz val="11"/>
        <color theme="1"/>
        <rFont val="Calibri"/>
        <family val="2"/>
        <scheme val="minor"/>
      </rPr>
      <t>piso gratuito</t>
    </r>
    <r>
      <rPr>
        <sz val="11"/>
        <color theme="1"/>
        <rFont val="Calibri"/>
        <family val="2"/>
        <scheme val="minor"/>
      </rPr>
      <t xml:space="preserve"> donde se monta todo el servidor. Es la plataforma base del sistema, sin costo.</t>
    </r>
  </si>
  <si>
    <r>
      <t xml:space="preserve">El </t>
    </r>
    <r>
      <rPr>
        <b/>
        <sz val="11"/>
        <color theme="1"/>
        <rFont val="Calibri"/>
        <family val="2"/>
        <scheme val="minor"/>
      </rPr>
      <t>portero del mercado</t>
    </r>
    <r>
      <rPr>
        <sz val="11"/>
        <color theme="1"/>
        <rFont val="Calibri"/>
        <family val="2"/>
        <scheme val="minor"/>
      </rPr>
      <t>: organiza a la gente que entra, evita aglomeraciones y redirige a donde deben ir. Sirve como servidor de pruebas y balanceador.</t>
    </r>
  </si>
  <si>
    <r>
      <t xml:space="preserve">El </t>
    </r>
    <r>
      <rPr>
        <b/>
        <sz val="11"/>
        <color theme="1"/>
        <rFont val="Calibri"/>
        <family val="2"/>
        <scheme val="minor"/>
      </rPr>
      <t>candado de seguridad</t>
    </r>
    <r>
      <rPr>
        <sz val="11"/>
        <color theme="1"/>
        <rFont val="Calibri"/>
        <family val="2"/>
        <scheme val="minor"/>
      </rPr>
      <t xml:space="preserve"> en la entrada del mercado. Protege los datos de usuarios (contraseñas, info personal).</t>
    </r>
  </si>
  <si>
    <r>
      <t xml:space="preserve">El </t>
    </r>
    <r>
      <rPr>
        <b/>
        <sz val="11"/>
        <color theme="1"/>
        <rFont val="Calibri"/>
        <family val="2"/>
        <scheme val="minor"/>
      </rPr>
      <t>kit de oficina</t>
    </r>
    <r>
      <rPr>
        <sz val="11"/>
        <color theme="1"/>
        <rFont val="Calibri"/>
        <family val="2"/>
        <scheme val="minor"/>
      </rPr>
      <t>: Word, Excel, PowerPoint. Nos sirve para documentar informes, costos, fichas técnicas y presentaciones.</t>
    </r>
  </si>
  <si>
    <t>Precio unitario</t>
  </si>
  <si>
    <t>Costo hora</t>
  </si>
  <si>
    <t>Total hora</t>
  </si>
  <si>
    <t>Costo total</t>
  </si>
  <si>
    <t>En nuestro caso no se paga, lo hacemos de forma autónoma.</t>
  </si>
  <si>
    <t>El análisis lo hacemos nosotros mismos.</t>
  </si>
  <si>
    <t>Valor referencial de la programación y pruebas.</t>
  </si>
  <si>
    <t>Usamos software libre (Linux, Node, PostgreSQL), por eso no hay gasto real.</t>
  </si>
  <si>
    <t>Nuestro aprendizaje proviene del SENA y recursos gratuitos.</t>
  </si>
  <si>
    <t>Observación</t>
  </si>
  <si>
    <t>Contamos con estos equipos que tienen en total ese valor estimado.</t>
  </si>
  <si>
    <r>
      <t xml:space="preserve">El </t>
    </r>
    <r>
      <rPr>
        <b/>
        <sz val="11"/>
        <color theme="1"/>
        <rFont val="Calibri"/>
        <family val="2"/>
        <scheme val="minor"/>
      </rPr>
      <t>kit de oficina</t>
    </r>
    <r>
      <rPr>
        <sz val="11"/>
        <color theme="1"/>
        <rFont val="Calibri"/>
        <family val="2"/>
        <scheme val="minor"/>
      </rPr>
      <t>: Word, Excel, PowerPoint.</t>
    </r>
  </si>
  <si>
    <r>
      <t xml:space="preserve">Nos sirve para </t>
    </r>
    <r>
      <rPr>
        <b/>
        <sz val="11"/>
        <color theme="1"/>
        <rFont val="Calibri"/>
        <family val="2"/>
        <scheme val="minor"/>
      </rPr>
      <t>documentar informes, costos, fichas técnicas y presentaciones</t>
    </r>
    <r>
      <rPr>
        <sz val="11"/>
        <color theme="1"/>
        <rFont val="Calibri"/>
        <family val="2"/>
        <scheme val="minor"/>
      </rPr>
      <t>.</t>
    </r>
  </si>
  <si>
    <t>Software servidor (paquete office)</t>
  </si>
  <si>
    <t>Licencia pagada para, documentar informes, costos, fichas técnicas y presentaciones.</t>
  </si>
  <si>
    <t>Sistema Operativo</t>
  </si>
  <si>
    <t>Windows Server, Red Hat</t>
  </si>
  <si>
    <t>Base de Datos</t>
  </si>
  <si>
    <t>Amazon RDS, Cloud SQL</t>
  </si>
  <si>
    <t>Hosting y Servicios</t>
  </si>
  <si>
    <t>Google Play Store, APIs de pago</t>
  </si>
  <si>
    <t>Herramientas de Diseño</t>
  </si>
  <si>
    <t>Figma Enterprise</t>
  </si>
  <si>
    <t xml:space="preserve"> Acceso a tiendas oficiales y servicios profesionales.                                                               Es el "alquiler" del espacio en internet donde vive la aplicación</t>
  </si>
  <si>
    <t xml:space="preserve"> Alto rendimiento, respaldo y seguridad gestionados.                                                                    Almacena y organiza toda la información: nombres de usuario, descripciones de ofertas, valoraciones de trueques, etc</t>
  </si>
  <si>
    <t>Soporte profesional.                                                                                                                                                                        Permite que el servidor pueda ejecutar la base de datos y la aplicación.</t>
  </si>
  <si>
    <t>Herramientas avanzadas para equipos.                                                                                                             Permite escribir el código de la aplicación, probarlo y corregir errores.</t>
  </si>
  <si>
    <t>Servidor en la Nube</t>
  </si>
  <si>
    <t>Servidor Privado Virtual (VPS)</t>
  </si>
  <si>
    <t>Firebase, AWS, Azure</t>
  </si>
  <si>
    <t>DigitalOcean, Hostinger</t>
  </si>
  <si>
    <t>Muy escalable y pago por consumo.                                                                                                          Este es el tipo de servidor más popular hoy en día para aplicaciones como la tuya. En esta opción, no alquilas un local, sino que pagas por un servicio que te da acceso a un montón de recursos.</t>
  </si>
  <si>
    <t>Buen rendimiento a menor costo y configurable.Este es un punto intermedio entre el servidor en la nube y el servidor dedicado. Es como alquilar una suite privada dentro de un hotel gigante. Compartes el edificio, pero tu suite es tuya y nadie más puede entrar a tu espacio.</t>
  </si>
  <si>
    <t>Software servidor</t>
  </si>
  <si>
    <t>Total costos oferta 2</t>
  </si>
  <si>
    <t>Asesoría</t>
  </si>
  <si>
    <t>Este es un valor mensual del servicio de internet</t>
  </si>
  <si>
    <t>Ficha técnica Hardware</t>
  </si>
  <si>
    <t>Características físicas (Hardware)</t>
  </si>
  <si>
    <t>Ítems</t>
  </si>
  <si>
    <t xml:space="preserve">Básico </t>
  </si>
  <si>
    <t>Android 8.0+, 3 GB RAM</t>
  </si>
  <si>
    <t>Gama baja para pruebas de compatibilidad</t>
  </si>
  <si>
    <t>Prar pruebas de la app</t>
  </si>
  <si>
    <t>Ficha técnica Software</t>
  </si>
  <si>
    <t>Características físicas (Software)</t>
  </si>
  <si>
    <r>
      <t xml:space="preserve">Un </t>
    </r>
    <r>
      <rPr>
        <b/>
        <sz val="11"/>
        <color theme="1"/>
        <rFont val="Calibri"/>
        <family val="2"/>
        <scheme val="minor"/>
      </rPr>
      <t>motor que ejecuta las órdenes</t>
    </r>
    <r>
      <rPr>
        <sz val="11"/>
        <color theme="1"/>
        <rFont val="Calibri"/>
        <family val="2"/>
        <scheme val="minor"/>
      </rPr>
      <t xml:space="preserve"> que los usuarios envían (ej.: registrar usuario, aceptar trueque). Es el cerebro que procesa la lógica de la app.</t>
    </r>
  </si>
  <si>
    <t>Instalación en celulares de prueba vía APK. Es la versión de prueba de la aplicación que se instala en celulares. Simula cómo el usuario común la descargaría e instalaría para empezar a hacer intercambios.</t>
  </si>
  <si>
    <t>Análisis de desarrollo</t>
  </si>
  <si>
    <t>Hardware servidor (Portátil, celulares y procesador)</t>
  </si>
  <si>
    <t>Hardware servidor (Portátil, celulares, procesador y servidores)</t>
  </si>
  <si>
    <t>Etapa</t>
  </si>
  <si>
    <t>Valor estimado (COP)</t>
  </si>
  <si>
    <t>Análisis y Diseño</t>
  </si>
  <si>
    <t>- Levantamiento de requisitos (funcionales y no funcionales).</t>
  </si>
  <si>
    <t>- Diseño de arquitectura.</t>
  </si>
  <si>
    <t>- Diseño UI/UX (web y móvil).</t>
  </si>
  <si>
    <t>- Diagramas UML.</t>
  </si>
  <si>
    <t>$1.500.000</t>
  </si>
  <si>
    <t>Desarrollo (Módulos Base)</t>
  </si>
  <si>
    <t>- Módulo de Usuarios (registro, inicio de sesión, perfiles).</t>
  </si>
  <si>
    <t>- Módulo de Ofertas.</t>
  </si>
  <si>
    <t>- Módulo de Búsqueda y Filtros.</t>
  </si>
  <si>
    <t>- Módulo de Solicitudes.</t>
  </si>
  <si>
    <t>$4.000.000</t>
  </si>
  <si>
    <t>Pruebas y QA</t>
  </si>
  <si>
    <t>- Pruebas unitarias, integración y funcionales.</t>
  </si>
  <si>
    <t>- Optimización de rendimiento.</t>
  </si>
  <si>
    <t>- Pruebas de usabilidad piloto.</t>
  </si>
  <si>
    <t>$500.000</t>
  </si>
  <si>
    <t>Implementación y Despliegue</t>
  </si>
  <si>
    <t>- Configuración de servidor y bases de datos.</t>
  </si>
  <si>
    <t>- Despliegue en la nube.</t>
  </si>
  <si>
    <t>$300.000</t>
  </si>
  <si>
    <t>Capacitación y Documentación</t>
  </si>
  <si>
    <t>- Entrega de documentación técnica.</t>
  </si>
  <si>
    <t>- Guía de uso para usuarios y administradores.</t>
  </si>
  <si>
    <t>$200.000</t>
  </si>
  <si>
    <t>Costo Total Propuesta 1</t>
  </si>
  <si>
    <t>$6.500.000</t>
  </si>
  <si>
    <t>Propuesta 1 – Opción Estándar</t>
  </si>
  <si>
    <r>
      <t>Alcance:</t>
    </r>
    <r>
      <rPr>
        <sz val="11"/>
        <color theme="1"/>
        <rFont val="Calibri"/>
        <family val="2"/>
        <scheme val="minor"/>
      </rPr>
      <t xml:space="preserve"> Desarrollo e implementación de las funcionalidades base de la plataforma TRUEQUE MATCH.</t>
    </r>
  </si>
  <si>
    <t>Fases</t>
  </si>
  <si>
    <t>Entregables</t>
  </si>
  <si>
    <t>Levantamiento de requisitos y diseño de la arquitectura de software. Diseño de interfaces (UI/UX) y diagramas UML.</t>
  </si>
  <si>
    <t>Documento de requisitos, prototipos de interfaz, diagramas de casos de uso y de clases.</t>
  </si>
  <si>
    <t>Construcción de funcionalidades esenciales: usuarios, ofertas, solicitudes y búsqueda con filtros.</t>
  </si>
  <si>
    <t>Módulo de usuarios, módulo de ofertas, módulo de solicitudes, módulo de búsqueda y filtros.</t>
  </si>
  <si>
    <t>Ejecución de pruebas unitarias, de integración y de usabilidad para garantizar la calidad del sistema.</t>
  </si>
  <si>
    <t>Informe de pruebas, reporte de errores corregidos.</t>
  </si>
  <si>
    <t>Configuración de servidor, base de datos y despliegue en la nube.</t>
  </si>
  <si>
    <t>Aplicación desplegada en entorno productivo.</t>
  </si>
  <si>
    <t>Transferencia de conocimiento y entrega de manuales de uso y documentación técnica.</t>
  </si>
  <si>
    <t>Manual de usuario, guía de administrador, documentación técnica.</t>
  </si>
  <si>
    <t>Propuesta 2 – Opción Premium</t>
  </si>
  <si>
    <r>
      <t>Alcance:</t>
    </r>
    <r>
      <rPr>
        <sz val="11"/>
        <color theme="1"/>
        <rFont val="Calibri"/>
        <family val="2"/>
        <scheme val="minor"/>
      </rPr>
      <t xml:space="preserve"> Incluye todas las funcionalidades de la opción Estándar, sumando módulos avanzados que potencian la interacción y confianza entre usuarios, brindando una experiencia más completa.</t>
    </r>
  </si>
  <si>
    <t>Propuesta Estándar</t>
  </si>
  <si>
    <t>- Incluye todos los servicios de la Propuesta 1 (Análisis, Desarrollo, Pruebas e Implementación).</t>
  </si>
  <si>
    <t>Desarrollo (Módulos Adicionales)</t>
  </si>
  <si>
    <t>- Módulo de Geolocalización.</t>
  </si>
  <si>
    <t>- Módulo de Mensajería interna.</t>
  </si>
  <si>
    <t>- Módulo de Reseñas y Calificaciones.</t>
  </si>
  <si>
    <t>- Módulo de Notificaciones.</t>
  </si>
  <si>
    <t>$2.000.000</t>
  </si>
  <si>
    <t>Mantenimiento y Soporte (3 meses)</t>
  </si>
  <si>
    <t>- Monitoreo del rendimiento del servidor.</t>
  </si>
  <si>
    <t>- Soporte técnico a incidentes.</t>
  </si>
  <si>
    <t>- Actualizaciones de seguridad.</t>
  </si>
  <si>
    <t>- Corrección de errores críticos.</t>
  </si>
  <si>
    <t>Costo Total Propuesta 2</t>
  </si>
  <si>
    <t>$9.000.000</t>
  </si>
  <si>
    <r>
      <t>Alcance:</t>
    </r>
    <r>
      <rPr>
        <sz val="11"/>
        <color theme="1"/>
        <rFont val="Calibri"/>
        <family val="2"/>
        <scheme val="minor"/>
      </rPr>
      <t xml:space="preserve"> Incluye todos los elementos de la Opción Estándar + módulos avanzados y soporte extendido.</t>
    </r>
  </si>
  <si>
    <t>Implementación completa de la Opción Estándar (análisis, desarrollo base, pruebas, despliegue y documentación).</t>
  </si>
  <si>
    <t>Todos los entregables de la Propuesta 1.</t>
  </si>
  <si>
    <t>Construcción de funcionalidades avanzadas: geolocalización, mensajería, reseñas y notificaciones.</t>
  </si>
  <si>
    <t>Módulo de geolocalización, módulo de mensajería, módulo de reseñas, módulo de notificaciones.</t>
  </si>
  <si>
    <t>Monitoreo, soporte técnico, actualizaciones y corrección de errores críticos posterior a la implementación.</t>
  </si>
  <si>
    <t>Informes mensuales de mantenimiento, registro de incidencias resueltas.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</si>
</sst>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2"/>
      <color theme="1"/>
      <name val="Calibri"/>
      <family val="2"/>
      <scheme val="minor"/>
    </font>
    <font>
      <b/>
      <sz val="11"/>
      <color theme="0"/>
      <name val="Calibri"/>
      <family val="2"/>
      <scheme val="minor"/>
    </font>
    <font>
      <b/>
      <sz val="18"/>
      <color theme="1"/>
      <name val="Calibri"/>
      <family val="2"/>
      <scheme val="minor"/>
    </font>
    <font>
      <b/>
      <sz val="12"/>
      <color theme="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70C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1" xfId="0" applyFont="1" applyBorder="1"/>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vertical="center"/>
    </xf>
    <xf numFmtId="0" fontId="0" fillId="0" borderId="0" xfId="0"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Alignment="1">
      <alignment horizontal="left" vertical="center" wrapText="1"/>
    </xf>
    <xf numFmtId="3" fontId="0" fillId="0" borderId="1" xfId="0" applyNumberFormat="1" applyBorder="1" applyAlignment="1">
      <alignment horizontal="right" vertical="center"/>
    </xf>
    <xf numFmtId="3" fontId="0" fillId="0" borderId="1" xfId="0" applyNumberForma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0" fillId="0" borderId="0" xfId="0" applyAlignment="1">
      <alignment horizontal="center"/>
    </xf>
    <xf numFmtId="0" fontId="0" fillId="7" borderId="1" xfId="0" applyFill="1" applyBorder="1" applyAlignment="1">
      <alignment horizontal="center" vertical="center" wrapText="1"/>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xf>
    <xf numFmtId="0" fontId="1" fillId="3" borderId="1" xfId="0" applyFont="1" applyFill="1"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horizontal="center"/>
    </xf>
    <xf numFmtId="0" fontId="1" fillId="6" borderId="1" xfId="0" applyFont="1"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1" fillId="5"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4" fillId="0" borderId="0" xfId="0" applyFont="1" applyAlignment="1">
      <alignment vertical="center"/>
    </xf>
    <xf numFmtId="0" fontId="1" fillId="0" borderId="0" xfId="0" applyFont="1"/>
    <xf numFmtId="0" fontId="4" fillId="0" borderId="0" xfId="0" applyFont="1" applyAlignment="1">
      <alignment horizontal="center" vertical="center"/>
    </xf>
    <xf numFmtId="0" fontId="1" fillId="0" borderId="0" xfId="0" applyFont="1" applyAlignment="1">
      <alignment horizontal="center"/>
    </xf>
    <xf numFmtId="0" fontId="5" fillId="8" borderId="0" xfId="0" applyFont="1" applyFill="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3" fillId="8" borderId="1" xfId="0" applyFont="1" applyFill="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5" fillId="8"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76200</xdr:colOff>
      <xdr:row>63</xdr:row>
      <xdr:rowOff>91440</xdr:rowOff>
    </xdr:from>
    <xdr:to>
      <xdr:col>9</xdr:col>
      <xdr:colOff>533400</xdr:colOff>
      <xdr:row>63</xdr:row>
      <xdr:rowOff>121920</xdr:rowOff>
    </xdr:to>
    <xdr:cxnSp macro="">
      <xdr:nvCxnSpPr>
        <xdr:cNvPr id="5" name="Conector recto 4">
          <a:extLst>
            <a:ext uri="{FF2B5EF4-FFF2-40B4-BE49-F238E27FC236}">
              <a16:creationId xmlns:a16="http://schemas.microsoft.com/office/drawing/2014/main" id="{9241798D-4F40-D183-EC31-80EC331C5DCB}"/>
            </a:ext>
          </a:extLst>
        </xdr:cNvPr>
        <xdr:cNvCxnSpPr/>
      </xdr:nvCxnSpPr>
      <xdr:spPr>
        <a:xfrm>
          <a:off x="76200" y="24612600"/>
          <a:ext cx="19187160" cy="30480"/>
        </a:xfrm>
        <a:prstGeom prst="line">
          <a:avLst/>
        </a:prstGeom>
        <a:ln w="76200"/>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602C9-8C67-4A3B-9637-2C35B282C245}">
  <sheetPr>
    <pageSetUpPr autoPageBreaks="0"/>
  </sheetPr>
  <dimension ref="B2:I135"/>
  <sheetViews>
    <sheetView showGridLines="0" topLeftCell="A65" zoomScale="69" zoomScaleNormal="40" zoomScalePageLayoutView="56" workbookViewId="0">
      <selection activeCell="D90" sqref="D90"/>
    </sheetView>
  </sheetViews>
  <sheetFormatPr baseColWidth="10" defaultRowHeight="14.4"/>
  <cols>
    <col min="2" max="2" width="16.44140625" customWidth="1"/>
    <col min="4" max="4" width="31.44140625" style="8" customWidth="1"/>
    <col min="5" max="5" width="47.33203125" bestFit="1" customWidth="1"/>
    <col min="6" max="7" width="16.21875" customWidth="1"/>
    <col min="8" max="8" width="82.5546875" style="11" customWidth="1"/>
    <col min="9" max="9" width="39.44140625" customWidth="1"/>
  </cols>
  <sheetData>
    <row r="2" spans="2:8" s="8" customFormat="1" ht="30" customHeight="1">
      <c r="B2" s="31" t="s">
        <v>98</v>
      </c>
      <c r="C2" s="31"/>
      <c r="D2" s="31"/>
      <c r="E2" s="31"/>
      <c r="F2" s="31"/>
      <c r="G2" s="31"/>
      <c r="H2" s="31"/>
    </row>
    <row r="3" spans="2:8" s="8" customFormat="1" ht="22.2" customHeight="1">
      <c r="B3" s="17" t="s">
        <v>0</v>
      </c>
      <c r="C3" s="32" t="s">
        <v>1</v>
      </c>
      <c r="D3" s="32"/>
      <c r="E3" s="32"/>
      <c r="F3" s="32"/>
      <c r="G3" s="32"/>
      <c r="H3" s="32"/>
    </row>
    <row r="4" spans="2:8" s="8" customFormat="1" ht="22.2" customHeight="1">
      <c r="B4" s="17" t="s">
        <v>2</v>
      </c>
      <c r="C4" s="24" t="s">
        <v>25</v>
      </c>
      <c r="D4" s="24"/>
      <c r="E4" s="24"/>
      <c r="F4" s="24"/>
      <c r="G4" s="24"/>
      <c r="H4" s="24"/>
    </row>
    <row r="5" spans="2:8" ht="21.6" customHeight="1">
      <c r="B5" s="24" t="s">
        <v>99</v>
      </c>
      <c r="C5" s="24"/>
      <c r="D5" s="24"/>
      <c r="E5" s="24"/>
      <c r="F5" s="24"/>
      <c r="G5" s="24"/>
      <c r="H5" s="24"/>
    </row>
    <row r="6" spans="2:8" ht="22.8" customHeight="1">
      <c r="B6" s="6" t="s">
        <v>100</v>
      </c>
      <c r="C6" s="6" t="s">
        <v>3</v>
      </c>
      <c r="D6" s="6" t="s">
        <v>4</v>
      </c>
      <c r="E6" s="6" t="s">
        <v>5</v>
      </c>
      <c r="F6" s="6" t="s">
        <v>61</v>
      </c>
      <c r="G6" s="6" t="s">
        <v>22</v>
      </c>
      <c r="H6" s="6" t="s">
        <v>30</v>
      </c>
    </row>
    <row r="7" spans="2:8" ht="22.8" customHeight="1">
      <c r="B7" s="7">
        <v>1</v>
      </c>
      <c r="C7" s="7">
        <v>1</v>
      </c>
      <c r="D7" s="17" t="s">
        <v>26</v>
      </c>
      <c r="E7" s="7" t="s">
        <v>27</v>
      </c>
      <c r="F7" s="7">
        <v>3000000</v>
      </c>
      <c r="G7" s="7">
        <v>3000000</v>
      </c>
      <c r="H7" s="12" t="s">
        <v>40</v>
      </c>
    </row>
    <row r="8" spans="2:8" ht="22.8" customHeight="1">
      <c r="B8" s="7">
        <v>2</v>
      </c>
      <c r="C8" s="7">
        <v>1</v>
      </c>
      <c r="D8" s="17" t="s">
        <v>8</v>
      </c>
      <c r="E8" s="7" t="s">
        <v>28</v>
      </c>
      <c r="F8" s="7">
        <v>0</v>
      </c>
      <c r="G8" s="7">
        <v>0</v>
      </c>
      <c r="H8" s="12" t="s">
        <v>41</v>
      </c>
    </row>
    <row r="9" spans="2:8" ht="22.8" customHeight="1">
      <c r="B9" s="7">
        <v>3</v>
      </c>
      <c r="C9" s="7">
        <v>1</v>
      </c>
      <c r="D9" s="17" t="s">
        <v>9</v>
      </c>
      <c r="E9" s="7" t="s">
        <v>101</v>
      </c>
      <c r="F9" s="7">
        <v>0</v>
      </c>
      <c r="G9" s="7">
        <v>0</v>
      </c>
      <c r="H9" s="12" t="s">
        <v>42</v>
      </c>
    </row>
    <row r="10" spans="2:8" ht="22.8" customHeight="1">
      <c r="B10" s="7">
        <v>4</v>
      </c>
      <c r="C10" s="7">
        <v>1</v>
      </c>
      <c r="D10" s="17" t="s">
        <v>10</v>
      </c>
      <c r="E10" s="7" t="s">
        <v>11</v>
      </c>
      <c r="F10" s="7">
        <v>0</v>
      </c>
      <c r="G10" s="7">
        <v>0</v>
      </c>
      <c r="H10" s="13" t="s">
        <v>43</v>
      </c>
    </row>
    <row r="11" spans="2:8" ht="22.8" customHeight="1">
      <c r="B11" s="7">
        <v>5</v>
      </c>
      <c r="C11" s="7">
        <v>1</v>
      </c>
      <c r="D11" s="17" t="s">
        <v>44</v>
      </c>
      <c r="E11" s="7" t="s">
        <v>102</v>
      </c>
      <c r="F11" s="7">
        <v>600000</v>
      </c>
      <c r="G11" s="7">
        <v>600000</v>
      </c>
      <c r="H11" s="13" t="s">
        <v>46</v>
      </c>
    </row>
    <row r="12" spans="2:8" ht="22.8" customHeight="1">
      <c r="B12" s="7">
        <v>6</v>
      </c>
      <c r="C12" s="7">
        <v>1</v>
      </c>
      <c r="D12" s="17" t="s">
        <v>45</v>
      </c>
      <c r="E12" s="7" t="s">
        <v>103</v>
      </c>
      <c r="F12" s="7">
        <v>400000</v>
      </c>
      <c r="G12" s="7">
        <v>400000</v>
      </c>
      <c r="H12" s="12" t="s">
        <v>104</v>
      </c>
    </row>
    <row r="13" spans="2:8" ht="22.8" customHeight="1">
      <c r="B13" s="7">
        <v>7</v>
      </c>
      <c r="C13" s="7">
        <v>1</v>
      </c>
      <c r="D13" s="17" t="s">
        <v>51</v>
      </c>
      <c r="E13" s="7" t="s">
        <v>52</v>
      </c>
      <c r="F13" s="7">
        <v>1200000</v>
      </c>
      <c r="G13" s="7">
        <v>1200000</v>
      </c>
      <c r="H13" s="12" t="s">
        <v>53</v>
      </c>
    </row>
    <row r="14" spans="2:8" ht="26.4" customHeight="1"/>
    <row r="15" spans="2:8" ht="25.2" customHeight="1">
      <c r="B15" s="31" t="s">
        <v>98</v>
      </c>
      <c r="C15" s="31"/>
      <c r="D15" s="31"/>
      <c r="E15" s="31"/>
      <c r="F15" s="31"/>
      <c r="G15" s="31"/>
      <c r="H15" s="31"/>
    </row>
    <row r="16" spans="2:8" ht="25.2" customHeight="1">
      <c r="B16" s="18" t="s">
        <v>0</v>
      </c>
      <c r="C16" s="23" t="s">
        <v>12</v>
      </c>
      <c r="D16" s="23"/>
      <c r="E16" s="23"/>
      <c r="F16" s="23"/>
      <c r="G16" s="23"/>
      <c r="H16" s="23"/>
    </row>
    <row r="17" spans="2:8" ht="25.2" customHeight="1">
      <c r="B17" s="18" t="s">
        <v>2</v>
      </c>
      <c r="C17" s="24" t="s">
        <v>25</v>
      </c>
      <c r="D17" s="24"/>
      <c r="E17" s="24"/>
      <c r="F17" s="24"/>
      <c r="G17" s="24"/>
      <c r="H17" s="24"/>
    </row>
    <row r="18" spans="2:8" ht="25.2" customHeight="1">
      <c r="B18" s="24" t="s">
        <v>99</v>
      </c>
      <c r="C18" s="24"/>
      <c r="D18" s="24"/>
      <c r="E18" s="24"/>
      <c r="F18" s="24"/>
      <c r="G18" s="24"/>
      <c r="H18" s="24"/>
    </row>
    <row r="19" spans="2:8">
      <c r="B19" s="2" t="s">
        <v>100</v>
      </c>
      <c r="C19" s="2" t="s">
        <v>3</v>
      </c>
      <c r="D19" s="6" t="s">
        <v>4</v>
      </c>
      <c r="E19" s="2" t="s">
        <v>5</v>
      </c>
      <c r="F19" s="2" t="s">
        <v>61</v>
      </c>
      <c r="G19" s="2" t="s">
        <v>22</v>
      </c>
      <c r="H19" s="6" t="s">
        <v>30</v>
      </c>
    </row>
    <row r="20" spans="2:8" ht="65.400000000000006" customHeight="1">
      <c r="B20" s="7">
        <v>1</v>
      </c>
      <c r="C20" s="7">
        <v>1</v>
      </c>
      <c r="D20" s="17" t="s">
        <v>6</v>
      </c>
      <c r="E20" s="7" t="s">
        <v>7</v>
      </c>
      <c r="F20" s="7">
        <v>0</v>
      </c>
      <c r="G20" s="7">
        <v>0</v>
      </c>
      <c r="H20" s="13" t="s">
        <v>47</v>
      </c>
    </row>
    <row r="21" spans="2:8" ht="65.400000000000006" customHeight="1">
      <c r="B21" s="7">
        <v>2</v>
      </c>
      <c r="C21" s="7">
        <v>1</v>
      </c>
      <c r="D21" s="17" t="s">
        <v>8</v>
      </c>
      <c r="E21" s="7" t="s">
        <v>13</v>
      </c>
      <c r="F21" s="7">
        <v>0</v>
      </c>
      <c r="G21" s="7">
        <v>0</v>
      </c>
      <c r="H21" s="13" t="s">
        <v>50</v>
      </c>
    </row>
    <row r="22" spans="2:8" ht="65.400000000000006" customHeight="1">
      <c r="B22" s="7">
        <v>3</v>
      </c>
      <c r="C22" s="7">
        <v>1</v>
      </c>
      <c r="D22" s="17" t="s">
        <v>9</v>
      </c>
      <c r="E22" s="7" t="s">
        <v>101</v>
      </c>
      <c r="F22" s="7">
        <v>0</v>
      </c>
      <c r="G22" s="7">
        <v>0</v>
      </c>
      <c r="H22" s="13" t="s">
        <v>49</v>
      </c>
    </row>
    <row r="23" spans="2:8" ht="65.400000000000006" customHeight="1">
      <c r="B23" s="7">
        <v>4</v>
      </c>
      <c r="C23" s="7">
        <v>1</v>
      </c>
      <c r="D23" s="17" t="s">
        <v>10</v>
      </c>
      <c r="E23" s="7" t="s">
        <v>14</v>
      </c>
      <c r="F23" s="7">
        <v>0</v>
      </c>
      <c r="G23" s="7">
        <v>0</v>
      </c>
      <c r="H23" s="13" t="s">
        <v>48</v>
      </c>
    </row>
    <row r="24" spans="2:8" ht="28.8" customHeight="1"/>
    <row r="25" spans="2:8" ht="21.6" customHeight="1">
      <c r="B25" s="28" t="s">
        <v>105</v>
      </c>
      <c r="C25" s="28"/>
      <c r="D25" s="28"/>
      <c r="E25" s="28"/>
      <c r="F25" s="28"/>
      <c r="G25" s="28"/>
      <c r="H25" s="28"/>
    </row>
    <row r="26" spans="2:8" ht="21.6" customHeight="1">
      <c r="B26" s="18" t="s">
        <v>0</v>
      </c>
      <c r="C26" s="30" t="s">
        <v>1</v>
      </c>
      <c r="D26" s="30"/>
      <c r="E26" s="30"/>
      <c r="F26" s="30"/>
      <c r="G26" s="30"/>
      <c r="H26" s="30"/>
    </row>
    <row r="27" spans="2:8" ht="21.6" customHeight="1">
      <c r="B27" s="18" t="s">
        <v>2</v>
      </c>
      <c r="C27" s="24" t="s">
        <v>25</v>
      </c>
      <c r="D27" s="24"/>
      <c r="E27" s="24"/>
      <c r="F27" s="24"/>
      <c r="G27" s="24"/>
      <c r="H27" s="24"/>
    </row>
    <row r="28" spans="2:8" ht="21.6" customHeight="1">
      <c r="B28" s="24" t="s">
        <v>106</v>
      </c>
      <c r="C28" s="24"/>
      <c r="D28" s="24"/>
      <c r="E28" s="24"/>
      <c r="F28" s="24"/>
      <c r="G28" s="24"/>
      <c r="H28" s="24"/>
    </row>
    <row r="29" spans="2:8">
      <c r="B29" s="6" t="s">
        <v>100</v>
      </c>
      <c r="C29" s="6" t="s">
        <v>3</v>
      </c>
      <c r="D29" s="6" t="s">
        <v>4</v>
      </c>
      <c r="E29" s="6" t="s">
        <v>5</v>
      </c>
      <c r="F29" s="2" t="s">
        <v>61</v>
      </c>
      <c r="G29" s="2" t="s">
        <v>22</v>
      </c>
      <c r="H29" s="6" t="s">
        <v>30</v>
      </c>
    </row>
    <row r="30" spans="2:8" ht="37.200000000000003" customHeight="1">
      <c r="B30" s="7">
        <v>1</v>
      </c>
      <c r="C30" s="7">
        <v>1</v>
      </c>
      <c r="D30" s="17" t="s">
        <v>29</v>
      </c>
      <c r="E30" s="7" t="s">
        <v>16</v>
      </c>
      <c r="F30" s="7">
        <v>0</v>
      </c>
      <c r="G30" s="7">
        <v>0</v>
      </c>
      <c r="H30" s="13" t="s">
        <v>56</v>
      </c>
    </row>
    <row r="31" spans="2:8" ht="37.200000000000003" customHeight="1">
      <c r="B31" s="7">
        <v>2</v>
      </c>
      <c r="C31" s="7">
        <v>1</v>
      </c>
      <c r="D31" s="17" t="s">
        <v>31</v>
      </c>
      <c r="E31" s="7" t="s">
        <v>16</v>
      </c>
      <c r="F31" s="7">
        <v>0</v>
      </c>
      <c r="G31" s="7">
        <v>0</v>
      </c>
      <c r="H31" s="13" t="s">
        <v>57</v>
      </c>
    </row>
    <row r="32" spans="2:8" ht="37.200000000000003" customHeight="1">
      <c r="B32" s="7">
        <v>3</v>
      </c>
      <c r="C32" s="7"/>
      <c r="D32" s="5" t="s">
        <v>32</v>
      </c>
      <c r="E32" s="7" t="s">
        <v>16</v>
      </c>
      <c r="F32" s="7">
        <v>0</v>
      </c>
      <c r="G32" s="7">
        <v>0</v>
      </c>
      <c r="H32" s="13" t="s">
        <v>107</v>
      </c>
    </row>
    <row r="33" spans="2:9" ht="37.200000000000003" customHeight="1">
      <c r="B33" s="7">
        <v>4</v>
      </c>
      <c r="C33" s="7"/>
      <c r="D33" s="17" t="s">
        <v>33</v>
      </c>
      <c r="E33" s="7" t="s">
        <v>16</v>
      </c>
      <c r="F33" s="7">
        <v>0</v>
      </c>
      <c r="G33" s="7">
        <v>0</v>
      </c>
      <c r="H33" s="13" t="s">
        <v>58</v>
      </c>
    </row>
    <row r="34" spans="2:9" ht="37.200000000000003" customHeight="1">
      <c r="B34" s="7">
        <v>5</v>
      </c>
      <c r="C34" s="7">
        <v>1</v>
      </c>
      <c r="D34" s="17" t="s">
        <v>34</v>
      </c>
      <c r="E34" s="7" t="s">
        <v>16</v>
      </c>
      <c r="F34" s="7">
        <v>0</v>
      </c>
      <c r="G34" s="7">
        <v>0</v>
      </c>
      <c r="H34" s="13" t="s">
        <v>59</v>
      </c>
    </row>
    <row r="35" spans="2:9" ht="37.200000000000003" customHeight="1">
      <c r="B35" s="7">
        <v>6</v>
      </c>
      <c r="C35" s="7"/>
      <c r="D35" s="5" t="s">
        <v>35</v>
      </c>
      <c r="E35" s="7" t="s">
        <v>16</v>
      </c>
      <c r="F35" s="7">
        <v>0</v>
      </c>
      <c r="G35" s="7">
        <v>0</v>
      </c>
      <c r="H35" s="13" t="s">
        <v>60</v>
      </c>
    </row>
    <row r="36" spans="2:9" ht="37.200000000000003" customHeight="1">
      <c r="B36" s="7">
        <v>7</v>
      </c>
      <c r="C36" s="7">
        <v>1</v>
      </c>
      <c r="D36" s="17" t="s">
        <v>29</v>
      </c>
      <c r="E36" s="7" t="s">
        <v>16</v>
      </c>
      <c r="F36" s="7">
        <v>0</v>
      </c>
      <c r="G36" s="7">
        <v>0</v>
      </c>
      <c r="H36" s="13" t="s">
        <v>56</v>
      </c>
    </row>
    <row r="37" spans="2:9" ht="37.200000000000003" customHeight="1">
      <c r="B37" s="7">
        <v>8</v>
      </c>
      <c r="C37" s="7">
        <v>1</v>
      </c>
      <c r="D37" s="17" t="s">
        <v>36</v>
      </c>
      <c r="E37" s="7" t="s">
        <v>72</v>
      </c>
      <c r="F37" s="7">
        <v>280000</v>
      </c>
      <c r="G37" s="7"/>
      <c r="H37" s="7" t="s">
        <v>73</v>
      </c>
    </row>
    <row r="38" spans="2:9" ht="21.6" customHeight="1"/>
    <row r="39" spans="2:9" s="8" customFormat="1" ht="19.8" customHeight="1">
      <c r="B39" s="28" t="s">
        <v>105</v>
      </c>
      <c r="C39" s="28"/>
      <c r="D39" s="28"/>
      <c r="E39" s="28"/>
      <c r="F39" s="28"/>
      <c r="G39" s="28"/>
      <c r="H39" s="28"/>
    </row>
    <row r="40" spans="2:9" ht="20.399999999999999" customHeight="1">
      <c r="B40" s="18" t="s">
        <v>0</v>
      </c>
      <c r="C40" s="23" t="s">
        <v>12</v>
      </c>
      <c r="D40" s="23"/>
      <c r="E40" s="23"/>
      <c r="F40" s="23"/>
      <c r="G40" s="23"/>
      <c r="H40" s="23"/>
    </row>
    <row r="41" spans="2:9" ht="20.399999999999999" customHeight="1">
      <c r="B41" s="18" t="s">
        <v>2</v>
      </c>
      <c r="C41" s="24" t="s">
        <v>25</v>
      </c>
      <c r="D41" s="24"/>
      <c r="E41" s="24"/>
      <c r="F41" s="24"/>
      <c r="G41" s="24"/>
      <c r="H41" s="24"/>
    </row>
    <row r="42" spans="2:9" ht="20.399999999999999" customHeight="1">
      <c r="B42" s="24" t="s">
        <v>106</v>
      </c>
      <c r="C42" s="24"/>
      <c r="D42" s="24"/>
      <c r="E42" s="24"/>
      <c r="F42" s="24"/>
      <c r="G42" s="24"/>
      <c r="H42" s="24"/>
    </row>
    <row r="43" spans="2:9">
      <c r="B43" s="6" t="s">
        <v>100</v>
      </c>
      <c r="C43" s="6" t="s">
        <v>3</v>
      </c>
      <c r="D43" s="6" t="s">
        <v>4</v>
      </c>
      <c r="E43" s="6" t="s">
        <v>5</v>
      </c>
      <c r="F43" s="2" t="s">
        <v>61</v>
      </c>
      <c r="G43" s="2" t="s">
        <v>22</v>
      </c>
      <c r="H43" s="6" t="s">
        <v>30</v>
      </c>
    </row>
    <row r="44" spans="2:9" ht="57.6" customHeight="1">
      <c r="B44" s="7">
        <v>1</v>
      </c>
      <c r="C44" s="7">
        <v>1</v>
      </c>
      <c r="D44" s="4" t="s">
        <v>37</v>
      </c>
      <c r="E44" s="7" t="s">
        <v>15</v>
      </c>
      <c r="F44" s="7">
        <v>0</v>
      </c>
      <c r="G44" s="7">
        <v>0</v>
      </c>
      <c r="H44" s="13" t="s">
        <v>54</v>
      </c>
    </row>
    <row r="45" spans="2:9" ht="57.6" customHeight="1">
      <c r="B45" s="7">
        <v>2</v>
      </c>
      <c r="C45" s="7">
        <v>1</v>
      </c>
      <c r="D45" s="7" t="s">
        <v>38</v>
      </c>
      <c r="E45" s="7" t="s">
        <v>15</v>
      </c>
      <c r="F45" s="7">
        <v>0</v>
      </c>
      <c r="G45" s="7">
        <v>0</v>
      </c>
      <c r="H45" s="13" t="s">
        <v>55</v>
      </c>
    </row>
    <row r="46" spans="2:9" ht="57.6" customHeight="1">
      <c r="B46" s="7">
        <v>3</v>
      </c>
      <c r="C46" s="7">
        <v>1</v>
      </c>
      <c r="D46" s="7" t="s">
        <v>39</v>
      </c>
      <c r="E46" s="7" t="s">
        <v>15</v>
      </c>
      <c r="F46" s="7">
        <v>0</v>
      </c>
      <c r="G46" s="7">
        <v>0</v>
      </c>
      <c r="H46" s="13" t="s">
        <v>108</v>
      </c>
    </row>
    <row r="47" spans="2:9" ht="57.6" customHeight="1">
      <c r="B47" s="8"/>
      <c r="C47" s="8"/>
      <c r="E47" s="8"/>
      <c r="F47" s="8"/>
      <c r="G47" s="8"/>
      <c r="H47" s="14"/>
    </row>
    <row r="48" spans="2:9" ht="24" customHeight="1">
      <c r="B48" s="26" t="s">
        <v>17</v>
      </c>
      <c r="C48" s="26"/>
      <c r="D48" s="26"/>
      <c r="E48" s="26"/>
      <c r="F48" s="26" t="s">
        <v>62</v>
      </c>
      <c r="G48" s="26" t="s">
        <v>63</v>
      </c>
      <c r="H48" s="26" t="s">
        <v>64</v>
      </c>
      <c r="I48" s="26" t="s">
        <v>70</v>
      </c>
    </row>
    <row r="49" spans="2:9" ht="24" customHeight="1">
      <c r="B49" s="25" t="s">
        <v>18</v>
      </c>
      <c r="C49" s="25"/>
      <c r="D49" s="25"/>
      <c r="E49" s="25"/>
      <c r="F49" s="26"/>
      <c r="G49" s="26"/>
      <c r="H49" s="26"/>
      <c r="I49" s="26"/>
    </row>
    <row r="50" spans="2:9" ht="34.799999999999997" customHeight="1">
      <c r="B50" s="24" t="s">
        <v>96</v>
      </c>
      <c r="C50" s="24"/>
      <c r="D50" s="24"/>
      <c r="E50" s="24"/>
      <c r="F50" s="16">
        <v>50000</v>
      </c>
      <c r="G50" s="16">
        <v>10</v>
      </c>
      <c r="H50" s="7">
        <v>0</v>
      </c>
      <c r="I50" s="13" t="s">
        <v>65</v>
      </c>
    </row>
    <row r="51" spans="2:9" ht="34.799999999999997" customHeight="1">
      <c r="B51" s="24" t="s">
        <v>109</v>
      </c>
      <c r="C51" s="24"/>
      <c r="D51" s="24"/>
      <c r="E51" s="24"/>
      <c r="F51" s="16">
        <v>70000</v>
      </c>
      <c r="G51" s="16">
        <v>50</v>
      </c>
      <c r="H51" s="7">
        <v>0</v>
      </c>
      <c r="I51" s="13" t="s">
        <v>66</v>
      </c>
    </row>
    <row r="52" spans="2:9" ht="34.799999999999997" customHeight="1">
      <c r="B52" s="24" t="s">
        <v>19</v>
      </c>
      <c r="C52" s="24"/>
      <c r="D52" s="24"/>
      <c r="E52" s="24"/>
      <c r="F52" s="16">
        <v>50000</v>
      </c>
      <c r="G52" s="16">
        <v>300</v>
      </c>
      <c r="H52" s="7">
        <v>0</v>
      </c>
      <c r="I52" s="13" t="s">
        <v>67</v>
      </c>
    </row>
    <row r="53" spans="2:9" ht="34.799999999999997" customHeight="1">
      <c r="B53" s="24" t="s">
        <v>20</v>
      </c>
      <c r="C53" s="24"/>
      <c r="D53" s="24"/>
      <c r="E53" s="24"/>
      <c r="F53" s="16"/>
      <c r="G53" s="16"/>
      <c r="H53" s="7">
        <v>0</v>
      </c>
      <c r="I53" s="13" t="s">
        <v>68</v>
      </c>
    </row>
    <row r="54" spans="2:9" ht="34.799999999999997" customHeight="1">
      <c r="B54" s="24" t="s">
        <v>21</v>
      </c>
      <c r="C54" s="24"/>
      <c r="D54" s="24"/>
      <c r="E54" s="24"/>
      <c r="F54" s="16">
        <v>30000</v>
      </c>
      <c r="G54" s="16">
        <v>3</v>
      </c>
      <c r="H54" s="7">
        <v>0</v>
      </c>
      <c r="I54" s="13" t="s">
        <v>69</v>
      </c>
    </row>
    <row r="55" spans="2:9" ht="34.799999999999997" customHeight="1">
      <c r="B55" s="24" t="s">
        <v>110</v>
      </c>
      <c r="C55" s="24"/>
      <c r="D55" s="24"/>
      <c r="E55" s="24"/>
      <c r="F55" s="16"/>
      <c r="G55" s="16"/>
      <c r="H55" s="7">
        <f>+SUM(G7:G13)</f>
        <v>5200000</v>
      </c>
      <c r="I55" s="13" t="s">
        <v>71</v>
      </c>
    </row>
    <row r="56" spans="2:9" ht="46.8" customHeight="1">
      <c r="B56" s="24" t="s">
        <v>74</v>
      </c>
      <c r="C56" s="24"/>
      <c r="D56" s="24"/>
      <c r="E56" s="24"/>
      <c r="F56" s="16"/>
      <c r="G56" s="16"/>
      <c r="H56" s="7">
        <v>280000</v>
      </c>
      <c r="I56" s="13" t="s">
        <v>75</v>
      </c>
    </row>
    <row r="57" spans="2:9" ht="34.799999999999997" customHeight="1">
      <c r="B57" s="25" t="s">
        <v>22</v>
      </c>
      <c r="C57" s="25"/>
      <c r="D57" s="25"/>
      <c r="E57" s="25"/>
      <c r="F57" s="25"/>
      <c r="G57" s="25"/>
      <c r="H57" s="7">
        <f>+SUM(H55:H56)</f>
        <v>5480000</v>
      </c>
      <c r="I57" s="10"/>
    </row>
    <row r="58" spans="2:9" ht="40.799999999999997" customHeight="1"/>
    <row r="59" spans="2:9" ht="39.6" customHeight="1">
      <c r="B59" s="26" t="s">
        <v>23</v>
      </c>
      <c r="C59" s="26"/>
      <c r="D59" s="26"/>
      <c r="E59" s="26"/>
      <c r="F59" s="21" t="s">
        <v>62</v>
      </c>
      <c r="G59" s="21" t="s">
        <v>63</v>
      </c>
      <c r="H59" s="21" t="s">
        <v>64</v>
      </c>
      <c r="I59" s="21" t="s">
        <v>70</v>
      </c>
    </row>
    <row r="60" spans="2:9" ht="27.6" customHeight="1">
      <c r="B60" s="23" t="s">
        <v>18</v>
      </c>
      <c r="C60" s="23"/>
      <c r="D60" s="23"/>
      <c r="E60" s="23"/>
      <c r="F60" s="22"/>
      <c r="G60" s="22"/>
      <c r="H60" s="22"/>
      <c r="I60" s="22"/>
    </row>
    <row r="61" spans="2:9" ht="39.6" customHeight="1">
      <c r="B61" s="24" t="s">
        <v>24</v>
      </c>
      <c r="C61" s="24"/>
      <c r="D61" s="24"/>
      <c r="E61" s="24"/>
      <c r="F61" s="15"/>
      <c r="G61" s="15"/>
      <c r="H61" s="7">
        <v>100000</v>
      </c>
      <c r="I61" s="4" t="s">
        <v>97</v>
      </c>
    </row>
    <row r="62" spans="2:9">
      <c r="B62" s="9"/>
      <c r="C62" s="9"/>
      <c r="E62" s="9"/>
      <c r="F62" s="9"/>
      <c r="G62" s="9"/>
    </row>
    <row r="63" spans="2:9" ht="36" customHeight="1">
      <c r="B63" s="20" t="s">
        <v>95</v>
      </c>
      <c r="C63" s="7">
        <f>+SUM(H61+H57)</f>
        <v>5580000</v>
      </c>
    </row>
    <row r="67" spans="2:9" ht="20.399999999999999" customHeight="1">
      <c r="B67" s="31" t="s">
        <v>98</v>
      </c>
      <c r="C67" s="31"/>
      <c r="D67" s="31"/>
      <c r="E67" s="31"/>
      <c r="F67" s="31"/>
      <c r="G67" s="31"/>
      <c r="H67" s="31"/>
      <c r="I67" s="8"/>
    </row>
    <row r="68" spans="2:9">
      <c r="B68" s="17" t="s">
        <v>0</v>
      </c>
      <c r="C68" s="30" t="s">
        <v>1</v>
      </c>
      <c r="D68" s="30"/>
      <c r="E68" s="30"/>
      <c r="F68" s="30"/>
      <c r="G68" s="30"/>
      <c r="H68" s="30"/>
      <c r="I68" s="8"/>
    </row>
    <row r="69" spans="2:9">
      <c r="B69" s="17" t="s">
        <v>2</v>
      </c>
      <c r="C69" s="24" t="s">
        <v>25</v>
      </c>
      <c r="D69" s="24"/>
      <c r="E69" s="24"/>
      <c r="F69" s="24"/>
      <c r="G69" s="24"/>
      <c r="H69" s="24"/>
      <c r="I69" s="8"/>
    </row>
    <row r="70" spans="2:9">
      <c r="B70" s="24" t="s">
        <v>99</v>
      </c>
      <c r="C70" s="24"/>
      <c r="D70" s="24"/>
      <c r="E70" s="24"/>
      <c r="F70" s="24"/>
      <c r="G70" s="24"/>
      <c r="H70" s="24"/>
    </row>
    <row r="71" spans="2:9">
      <c r="B71" s="2" t="s">
        <v>100</v>
      </c>
      <c r="C71" s="2" t="s">
        <v>3</v>
      </c>
      <c r="D71" s="6" t="s">
        <v>4</v>
      </c>
      <c r="E71" s="2" t="s">
        <v>5</v>
      </c>
      <c r="F71" s="2" t="s">
        <v>61</v>
      </c>
      <c r="G71" s="2" t="s">
        <v>22</v>
      </c>
      <c r="H71" s="6" t="s">
        <v>30</v>
      </c>
    </row>
    <row r="72" spans="2:9" ht="19.8" customHeight="1">
      <c r="B72" s="1">
        <v>1</v>
      </c>
      <c r="C72" s="1">
        <v>1</v>
      </c>
      <c r="D72" s="7" t="s">
        <v>26</v>
      </c>
      <c r="E72" s="7" t="s">
        <v>27</v>
      </c>
      <c r="F72" s="1">
        <v>3000000</v>
      </c>
      <c r="G72" s="1">
        <v>3000000</v>
      </c>
      <c r="H72" s="12" t="s">
        <v>40</v>
      </c>
    </row>
    <row r="73" spans="2:9" ht="19.8" customHeight="1">
      <c r="B73" s="1">
        <v>2</v>
      </c>
      <c r="C73" s="1">
        <v>1</v>
      </c>
      <c r="D73" s="7" t="s">
        <v>8</v>
      </c>
      <c r="E73" s="7" t="s">
        <v>28</v>
      </c>
      <c r="F73" s="1">
        <v>0</v>
      </c>
      <c r="G73" s="1">
        <v>0</v>
      </c>
      <c r="H73" s="12" t="s">
        <v>41</v>
      </c>
    </row>
    <row r="74" spans="2:9" ht="19.8" customHeight="1">
      <c r="B74" s="1">
        <v>3</v>
      </c>
      <c r="C74" s="1">
        <v>1</v>
      </c>
      <c r="D74" s="7" t="s">
        <v>9</v>
      </c>
      <c r="E74" s="7" t="s">
        <v>101</v>
      </c>
      <c r="F74" s="1">
        <v>0</v>
      </c>
      <c r="G74" s="1">
        <v>0</v>
      </c>
      <c r="H74" s="12" t="s">
        <v>42</v>
      </c>
    </row>
    <row r="75" spans="2:9" ht="19.8" customHeight="1">
      <c r="B75" s="1">
        <v>4</v>
      </c>
      <c r="C75" s="1">
        <v>1</v>
      </c>
      <c r="D75" s="7" t="s">
        <v>10</v>
      </c>
      <c r="E75" s="7" t="s">
        <v>11</v>
      </c>
      <c r="F75" s="1">
        <v>0</v>
      </c>
      <c r="G75" s="1">
        <v>0</v>
      </c>
      <c r="H75" s="13" t="s">
        <v>43</v>
      </c>
    </row>
    <row r="76" spans="2:9" ht="19.8" customHeight="1">
      <c r="B76" s="1">
        <v>5</v>
      </c>
      <c r="C76" s="1">
        <v>1</v>
      </c>
      <c r="D76" s="7" t="s">
        <v>44</v>
      </c>
      <c r="E76" s="7" t="s">
        <v>102</v>
      </c>
      <c r="F76" s="1">
        <v>600000</v>
      </c>
      <c r="G76" s="1">
        <v>600000</v>
      </c>
      <c r="H76" s="13" t="s">
        <v>46</v>
      </c>
    </row>
    <row r="77" spans="2:9" ht="19.8" customHeight="1">
      <c r="B77" s="1">
        <v>6</v>
      </c>
      <c r="C77" s="1">
        <v>1</v>
      </c>
      <c r="D77" s="7" t="s">
        <v>45</v>
      </c>
      <c r="E77" s="7" t="s">
        <v>103</v>
      </c>
      <c r="F77" s="1">
        <v>400000</v>
      </c>
      <c r="G77" s="1">
        <v>400000</v>
      </c>
      <c r="H77" s="12" t="s">
        <v>46</v>
      </c>
    </row>
    <row r="78" spans="2:9" ht="19.8" customHeight="1">
      <c r="B78" s="1">
        <v>7</v>
      </c>
      <c r="C78" s="1">
        <v>1</v>
      </c>
      <c r="D78" s="7" t="s">
        <v>51</v>
      </c>
      <c r="E78" s="7" t="s">
        <v>52</v>
      </c>
      <c r="F78" s="1">
        <v>1200000</v>
      </c>
      <c r="G78" s="1">
        <v>1200000</v>
      </c>
      <c r="H78" s="12" t="s">
        <v>53</v>
      </c>
    </row>
    <row r="79" spans="2:9" ht="67.8" customHeight="1">
      <c r="B79" s="7">
        <v>8</v>
      </c>
      <c r="C79" s="7">
        <v>1</v>
      </c>
      <c r="D79" s="7" t="s">
        <v>88</v>
      </c>
      <c r="E79" s="7" t="s">
        <v>90</v>
      </c>
      <c r="F79" s="7">
        <v>200000</v>
      </c>
      <c r="G79" s="7">
        <v>200000</v>
      </c>
      <c r="H79" s="13" t="s">
        <v>92</v>
      </c>
    </row>
    <row r="80" spans="2:9" ht="67.8" customHeight="1">
      <c r="B80" s="7">
        <v>9</v>
      </c>
      <c r="C80" s="7">
        <v>2</v>
      </c>
      <c r="D80" s="7" t="s">
        <v>89</v>
      </c>
      <c r="E80" s="7" t="s">
        <v>91</v>
      </c>
      <c r="F80" s="7">
        <v>200000</v>
      </c>
      <c r="G80" s="7">
        <v>200000</v>
      </c>
      <c r="H80" s="13" t="s">
        <v>93</v>
      </c>
    </row>
    <row r="81" spans="2:8">
      <c r="B81" s="19"/>
      <c r="C81" s="19"/>
      <c r="E81" s="19"/>
      <c r="F81" s="19"/>
      <c r="G81" s="19"/>
    </row>
    <row r="83" spans="2:8" ht="21.6" customHeight="1">
      <c r="B83" s="31" t="s">
        <v>98</v>
      </c>
      <c r="C83" s="31"/>
      <c r="D83" s="31"/>
      <c r="E83" s="31"/>
      <c r="F83" s="31"/>
      <c r="G83" s="31"/>
      <c r="H83" s="31"/>
    </row>
    <row r="84" spans="2:8">
      <c r="B84" s="18" t="s">
        <v>0</v>
      </c>
      <c r="C84" s="29" t="s">
        <v>12</v>
      </c>
      <c r="D84" s="29"/>
      <c r="E84" s="29"/>
      <c r="F84" s="29"/>
      <c r="G84" s="29"/>
      <c r="H84" s="29"/>
    </row>
    <row r="85" spans="2:8">
      <c r="B85" s="18" t="s">
        <v>2</v>
      </c>
      <c r="C85" s="24" t="s">
        <v>25</v>
      </c>
      <c r="D85" s="24"/>
      <c r="E85" s="24"/>
      <c r="F85" s="24"/>
      <c r="G85" s="24"/>
      <c r="H85" s="24"/>
    </row>
    <row r="86" spans="2:8">
      <c r="B86" s="24" t="s">
        <v>99</v>
      </c>
      <c r="C86" s="24"/>
      <c r="D86" s="24"/>
      <c r="E86" s="24"/>
      <c r="F86" s="24"/>
      <c r="G86" s="24"/>
      <c r="H86" s="24"/>
    </row>
    <row r="87" spans="2:8">
      <c r="B87" s="6" t="s">
        <v>100</v>
      </c>
      <c r="C87" s="6" t="s">
        <v>3</v>
      </c>
      <c r="D87" s="6" t="s">
        <v>4</v>
      </c>
      <c r="E87" s="6" t="s">
        <v>5</v>
      </c>
      <c r="F87" s="6" t="s">
        <v>61</v>
      </c>
      <c r="G87" s="6" t="s">
        <v>22</v>
      </c>
      <c r="H87" s="6" t="s">
        <v>30</v>
      </c>
    </row>
    <row r="88" spans="2:8" ht="45.6" customHeight="1">
      <c r="B88" s="7">
        <v>1</v>
      </c>
      <c r="C88" s="7">
        <v>1</v>
      </c>
      <c r="D88" s="7" t="s">
        <v>6</v>
      </c>
      <c r="E88" s="7" t="s">
        <v>7</v>
      </c>
      <c r="F88" s="7">
        <v>0</v>
      </c>
      <c r="G88" s="7">
        <v>0</v>
      </c>
      <c r="H88" s="13" t="s">
        <v>47</v>
      </c>
    </row>
    <row r="89" spans="2:8" ht="45.6" customHeight="1">
      <c r="B89" s="7">
        <v>2</v>
      </c>
      <c r="C89" s="7">
        <v>1</v>
      </c>
      <c r="D89" s="7" t="s">
        <v>8</v>
      </c>
      <c r="E89" s="7" t="s">
        <v>13</v>
      </c>
      <c r="F89" s="7">
        <v>0</v>
      </c>
      <c r="G89" s="7">
        <v>0</v>
      </c>
      <c r="H89" s="13" t="s">
        <v>50</v>
      </c>
    </row>
    <row r="90" spans="2:8" ht="45.6" customHeight="1">
      <c r="B90" s="7">
        <v>3</v>
      </c>
      <c r="C90" s="7">
        <v>1</v>
      </c>
      <c r="D90" s="7" t="s">
        <v>9</v>
      </c>
      <c r="E90" s="7" t="s">
        <v>101</v>
      </c>
      <c r="F90" s="7">
        <v>0</v>
      </c>
      <c r="G90" s="7">
        <v>0</v>
      </c>
      <c r="H90" s="13" t="s">
        <v>49</v>
      </c>
    </row>
    <row r="91" spans="2:8" ht="45.6" customHeight="1">
      <c r="B91" s="7">
        <v>4</v>
      </c>
      <c r="C91" s="7">
        <v>1</v>
      </c>
      <c r="D91" s="7" t="s">
        <v>10</v>
      </c>
      <c r="E91" s="7" t="s">
        <v>14</v>
      </c>
      <c r="F91" s="7">
        <v>0</v>
      </c>
      <c r="G91" s="7">
        <v>0</v>
      </c>
      <c r="H91" s="13" t="s">
        <v>48</v>
      </c>
    </row>
    <row r="93" spans="2:8" ht="22.8" customHeight="1">
      <c r="B93" s="28" t="s">
        <v>105</v>
      </c>
      <c r="C93" s="28"/>
      <c r="D93" s="28"/>
      <c r="E93" s="28"/>
      <c r="F93" s="28"/>
      <c r="G93" s="28"/>
      <c r="H93" s="28"/>
    </row>
    <row r="94" spans="2:8">
      <c r="B94" s="17" t="s">
        <v>0</v>
      </c>
      <c r="C94" s="30" t="s">
        <v>1</v>
      </c>
      <c r="D94" s="30"/>
      <c r="E94" s="30"/>
      <c r="F94" s="30"/>
      <c r="G94" s="30"/>
      <c r="H94" s="30"/>
    </row>
    <row r="95" spans="2:8">
      <c r="B95" s="17" t="s">
        <v>2</v>
      </c>
      <c r="C95" s="24" t="s">
        <v>25</v>
      </c>
      <c r="D95" s="24"/>
      <c r="E95" s="24"/>
      <c r="F95" s="24"/>
      <c r="G95" s="24"/>
      <c r="H95" s="24"/>
    </row>
    <row r="96" spans="2:8">
      <c r="B96" s="24" t="s">
        <v>106</v>
      </c>
      <c r="C96" s="24"/>
      <c r="D96" s="24"/>
      <c r="E96" s="24"/>
      <c r="F96" s="24"/>
      <c r="G96" s="24"/>
      <c r="H96" s="24"/>
    </row>
    <row r="97" spans="2:8">
      <c r="B97" s="6" t="s">
        <v>100</v>
      </c>
      <c r="C97" s="6" t="s">
        <v>3</v>
      </c>
      <c r="D97" s="6" t="s">
        <v>4</v>
      </c>
      <c r="E97" s="6" t="s">
        <v>5</v>
      </c>
      <c r="F97" s="6" t="s">
        <v>61</v>
      </c>
      <c r="G97" s="6" t="s">
        <v>22</v>
      </c>
      <c r="H97" s="6" t="s">
        <v>30</v>
      </c>
    </row>
    <row r="98" spans="2:8" ht="61.2" customHeight="1">
      <c r="B98" s="7">
        <v>1</v>
      </c>
      <c r="C98" s="7">
        <v>1</v>
      </c>
      <c r="D98" s="7" t="s">
        <v>29</v>
      </c>
      <c r="E98" s="7" t="s">
        <v>16</v>
      </c>
      <c r="F98" s="7">
        <v>0</v>
      </c>
      <c r="G98" s="7">
        <v>0</v>
      </c>
      <c r="H98" s="13" t="s">
        <v>56</v>
      </c>
    </row>
    <row r="99" spans="2:8" ht="61.2" customHeight="1">
      <c r="B99" s="7">
        <v>2</v>
      </c>
      <c r="C99" s="7">
        <v>1</v>
      </c>
      <c r="D99" s="7" t="s">
        <v>31</v>
      </c>
      <c r="E99" s="7" t="s">
        <v>16</v>
      </c>
      <c r="F99" s="7">
        <v>0</v>
      </c>
      <c r="G99" s="7">
        <v>0</v>
      </c>
      <c r="H99" s="13" t="s">
        <v>57</v>
      </c>
    </row>
    <row r="100" spans="2:8" ht="61.2" customHeight="1">
      <c r="B100" s="7">
        <v>3</v>
      </c>
      <c r="C100" s="7"/>
      <c r="D100" s="4" t="s">
        <v>32</v>
      </c>
      <c r="E100" s="7" t="s">
        <v>16</v>
      </c>
      <c r="F100" s="7">
        <v>0</v>
      </c>
      <c r="G100" s="7">
        <v>0</v>
      </c>
      <c r="H100" s="13" t="s">
        <v>107</v>
      </c>
    </row>
    <row r="101" spans="2:8" ht="61.2" customHeight="1">
      <c r="B101" s="7">
        <v>4</v>
      </c>
      <c r="C101" s="7"/>
      <c r="D101" s="7" t="s">
        <v>33</v>
      </c>
      <c r="E101" s="7" t="s">
        <v>16</v>
      </c>
      <c r="F101" s="7">
        <v>0</v>
      </c>
      <c r="G101" s="7">
        <v>0</v>
      </c>
      <c r="H101" s="13" t="s">
        <v>58</v>
      </c>
    </row>
    <row r="102" spans="2:8" ht="61.2" customHeight="1">
      <c r="B102" s="7">
        <v>5</v>
      </c>
      <c r="C102" s="7">
        <v>1</v>
      </c>
      <c r="D102" s="7" t="s">
        <v>34</v>
      </c>
      <c r="E102" s="7" t="s">
        <v>16</v>
      </c>
      <c r="F102" s="7">
        <v>0</v>
      </c>
      <c r="G102" s="7">
        <v>0</v>
      </c>
      <c r="H102" s="13" t="s">
        <v>59</v>
      </c>
    </row>
    <row r="103" spans="2:8" ht="61.2" customHeight="1">
      <c r="B103" s="7">
        <v>6</v>
      </c>
      <c r="C103" s="7"/>
      <c r="D103" s="4" t="s">
        <v>35</v>
      </c>
      <c r="E103" s="7" t="s">
        <v>16</v>
      </c>
      <c r="F103" s="7">
        <v>0</v>
      </c>
      <c r="G103" s="7">
        <v>0</v>
      </c>
      <c r="H103" s="13" t="s">
        <v>60</v>
      </c>
    </row>
    <row r="104" spans="2:8" ht="61.2" customHeight="1">
      <c r="B104" s="4">
        <v>7</v>
      </c>
      <c r="C104" s="4">
        <v>1</v>
      </c>
      <c r="D104" s="4" t="s">
        <v>76</v>
      </c>
      <c r="E104" s="7" t="s">
        <v>77</v>
      </c>
      <c r="F104" s="4">
        <v>250000</v>
      </c>
      <c r="G104" s="4">
        <v>250000</v>
      </c>
      <c r="H104" s="13" t="s">
        <v>86</v>
      </c>
    </row>
    <row r="105" spans="2:8" ht="61.2" customHeight="1">
      <c r="B105" s="4">
        <v>8</v>
      </c>
      <c r="C105" s="4">
        <v>1</v>
      </c>
      <c r="D105" s="7" t="s">
        <v>78</v>
      </c>
      <c r="E105" s="7" t="s">
        <v>79</v>
      </c>
      <c r="F105" s="4">
        <v>400000</v>
      </c>
      <c r="G105" s="4">
        <v>400000</v>
      </c>
      <c r="H105" s="13" t="s">
        <v>85</v>
      </c>
    </row>
    <row r="106" spans="2:8" ht="61.2" customHeight="1">
      <c r="B106" s="4">
        <v>9</v>
      </c>
      <c r="C106" s="4"/>
      <c r="D106" s="7" t="s">
        <v>80</v>
      </c>
      <c r="E106" s="7" t="s">
        <v>81</v>
      </c>
      <c r="F106" s="4">
        <v>80000</v>
      </c>
      <c r="G106" s="4">
        <v>80000</v>
      </c>
      <c r="H106" s="13" t="s">
        <v>84</v>
      </c>
    </row>
    <row r="107" spans="2:8" ht="61.2" customHeight="1">
      <c r="B107" s="4">
        <v>10</v>
      </c>
      <c r="C107" s="4"/>
      <c r="D107" s="7" t="s">
        <v>82</v>
      </c>
      <c r="E107" s="7" t="s">
        <v>83</v>
      </c>
      <c r="F107" s="4">
        <v>180000</v>
      </c>
      <c r="G107" s="4">
        <v>180000</v>
      </c>
      <c r="H107" s="13" t="s">
        <v>87</v>
      </c>
    </row>
    <row r="108" spans="2:8" ht="61.2" customHeight="1">
      <c r="B108" s="4">
        <v>11</v>
      </c>
      <c r="C108" s="4">
        <v>1</v>
      </c>
      <c r="D108" s="4" t="s">
        <v>36</v>
      </c>
      <c r="E108" s="4" t="s">
        <v>72</v>
      </c>
      <c r="F108" s="4">
        <v>280000</v>
      </c>
      <c r="G108" s="4">
        <v>280000</v>
      </c>
      <c r="H108" s="13" t="s">
        <v>73</v>
      </c>
    </row>
    <row r="110" spans="2:8" s="8" customFormat="1" ht="22.2" customHeight="1">
      <c r="B110" s="28" t="s">
        <v>105</v>
      </c>
      <c r="C110" s="28"/>
      <c r="D110" s="28"/>
      <c r="E110" s="28"/>
      <c r="F110" s="28"/>
      <c r="G110" s="28"/>
      <c r="H110" s="28"/>
    </row>
    <row r="111" spans="2:8">
      <c r="B111" s="3" t="s">
        <v>0</v>
      </c>
      <c r="C111" s="29" t="s">
        <v>12</v>
      </c>
      <c r="D111" s="29"/>
      <c r="E111" s="29"/>
      <c r="F111" s="29"/>
      <c r="G111" s="29"/>
      <c r="H111" s="29"/>
    </row>
    <row r="112" spans="2:8">
      <c r="B112" s="3" t="s">
        <v>2</v>
      </c>
      <c r="C112" s="27" t="s">
        <v>25</v>
      </c>
      <c r="D112" s="27"/>
      <c r="E112" s="27"/>
      <c r="F112" s="27"/>
      <c r="G112" s="27"/>
      <c r="H112" s="27"/>
    </row>
    <row r="113" spans="2:9">
      <c r="B113" s="27" t="s">
        <v>106</v>
      </c>
      <c r="C113" s="27"/>
      <c r="D113" s="27"/>
      <c r="E113" s="27"/>
      <c r="F113" s="27"/>
      <c r="G113" s="27"/>
      <c r="H113" s="27"/>
    </row>
    <row r="114" spans="2:9">
      <c r="B114" s="6" t="s">
        <v>100</v>
      </c>
      <c r="C114" s="6" t="s">
        <v>3</v>
      </c>
      <c r="D114" s="6" t="s">
        <v>4</v>
      </c>
      <c r="E114" s="6" t="s">
        <v>5</v>
      </c>
      <c r="F114" s="6" t="s">
        <v>61</v>
      </c>
      <c r="G114" s="6" t="s">
        <v>22</v>
      </c>
      <c r="H114" s="6" t="s">
        <v>30</v>
      </c>
    </row>
    <row r="115" spans="2:9" ht="43.2">
      <c r="B115" s="7">
        <v>1</v>
      </c>
      <c r="C115" s="7">
        <v>1</v>
      </c>
      <c r="D115" s="5" t="s">
        <v>37</v>
      </c>
      <c r="E115" s="7" t="s">
        <v>15</v>
      </c>
      <c r="F115" s="7">
        <v>0</v>
      </c>
      <c r="G115" s="7">
        <v>0</v>
      </c>
      <c r="H115" s="13" t="s">
        <v>54</v>
      </c>
    </row>
    <row r="116" spans="2:9" ht="28.8">
      <c r="B116" s="7">
        <v>2</v>
      </c>
      <c r="C116" s="7">
        <v>1</v>
      </c>
      <c r="D116" s="7" t="s">
        <v>38</v>
      </c>
      <c r="E116" s="7" t="s">
        <v>15</v>
      </c>
      <c r="F116" s="7">
        <v>0</v>
      </c>
      <c r="G116" s="7">
        <v>0</v>
      </c>
      <c r="H116" s="13" t="s">
        <v>55</v>
      </c>
    </row>
    <row r="117" spans="2:9" ht="43.2">
      <c r="B117" s="7">
        <v>3</v>
      </c>
      <c r="C117" s="7">
        <v>1</v>
      </c>
      <c r="D117" s="7" t="s">
        <v>39</v>
      </c>
      <c r="E117" s="7" t="s">
        <v>15</v>
      </c>
      <c r="F117" s="7">
        <v>0</v>
      </c>
      <c r="G117" s="7">
        <v>0</v>
      </c>
      <c r="H117" s="13" t="s">
        <v>108</v>
      </c>
    </row>
    <row r="118" spans="2:9">
      <c r="B118" s="8"/>
      <c r="C118" s="8"/>
      <c r="E118" s="8"/>
      <c r="F118" s="8"/>
      <c r="G118" s="8"/>
      <c r="H118" s="14"/>
    </row>
    <row r="119" spans="2:9" ht="15.6">
      <c r="B119" s="26" t="s">
        <v>17</v>
      </c>
      <c r="C119" s="26"/>
      <c r="D119" s="26"/>
      <c r="E119" s="26"/>
      <c r="F119" s="26" t="s">
        <v>62</v>
      </c>
      <c r="G119" s="26" t="s">
        <v>63</v>
      </c>
      <c r="H119" s="26" t="s">
        <v>64</v>
      </c>
      <c r="I119" s="26" t="s">
        <v>70</v>
      </c>
    </row>
    <row r="120" spans="2:9" ht="15.6">
      <c r="B120" s="25" t="s">
        <v>18</v>
      </c>
      <c r="C120" s="25"/>
      <c r="D120" s="25"/>
      <c r="E120" s="25"/>
      <c r="F120" s="26"/>
      <c r="G120" s="26"/>
      <c r="H120" s="26"/>
      <c r="I120" s="26"/>
    </row>
    <row r="121" spans="2:9" ht="28.8">
      <c r="B121" s="24" t="s">
        <v>96</v>
      </c>
      <c r="C121" s="24"/>
      <c r="D121" s="24"/>
      <c r="E121" s="24"/>
      <c r="F121" s="16">
        <v>50000</v>
      </c>
      <c r="G121" s="16">
        <v>10</v>
      </c>
      <c r="H121" s="7">
        <v>0</v>
      </c>
      <c r="I121" s="13" t="s">
        <v>65</v>
      </c>
    </row>
    <row r="122" spans="2:9">
      <c r="B122" s="24" t="s">
        <v>109</v>
      </c>
      <c r="C122" s="24"/>
      <c r="D122" s="24"/>
      <c r="E122" s="24"/>
      <c r="F122" s="16">
        <v>70000</v>
      </c>
      <c r="G122" s="16">
        <v>50</v>
      </c>
      <c r="H122" s="7">
        <v>0</v>
      </c>
      <c r="I122" s="13" t="s">
        <v>66</v>
      </c>
    </row>
    <row r="123" spans="2:9" ht="28.8">
      <c r="B123" s="24" t="s">
        <v>19</v>
      </c>
      <c r="C123" s="24"/>
      <c r="D123" s="24"/>
      <c r="E123" s="24"/>
      <c r="F123" s="16">
        <v>50000</v>
      </c>
      <c r="G123" s="16">
        <v>300</v>
      </c>
      <c r="H123" s="7">
        <v>0</v>
      </c>
      <c r="I123" s="13" t="s">
        <v>67</v>
      </c>
    </row>
    <row r="124" spans="2:9" ht="28.8">
      <c r="B124" s="24" t="s">
        <v>20</v>
      </c>
      <c r="C124" s="24"/>
      <c r="D124" s="24"/>
      <c r="E124" s="24"/>
      <c r="F124" s="16"/>
      <c r="G124" s="16"/>
      <c r="H124" s="7">
        <v>0</v>
      </c>
      <c r="I124" s="13" t="s">
        <v>68</v>
      </c>
    </row>
    <row r="125" spans="2:9" ht="28.8">
      <c r="B125" s="24" t="s">
        <v>21</v>
      </c>
      <c r="C125" s="24"/>
      <c r="D125" s="24"/>
      <c r="E125" s="24"/>
      <c r="F125" s="16">
        <v>30000</v>
      </c>
      <c r="G125" s="16">
        <v>3</v>
      </c>
      <c r="H125" s="7">
        <v>0</v>
      </c>
      <c r="I125" s="13" t="s">
        <v>69</v>
      </c>
    </row>
    <row r="126" spans="2:9" ht="28.8">
      <c r="B126" s="24" t="s">
        <v>111</v>
      </c>
      <c r="C126" s="24"/>
      <c r="D126" s="24"/>
      <c r="E126" s="24"/>
      <c r="F126" s="16"/>
      <c r="G126" s="16"/>
      <c r="H126" s="7">
        <f>+SUM(G72:G80)</f>
        <v>5600000</v>
      </c>
      <c r="I126" s="13" t="s">
        <v>71</v>
      </c>
    </row>
    <row r="127" spans="2:9" ht="28.8">
      <c r="B127" s="24" t="s">
        <v>94</v>
      </c>
      <c r="C127" s="24"/>
      <c r="D127" s="24"/>
      <c r="E127" s="24"/>
      <c r="F127" s="16"/>
      <c r="G127" s="16"/>
      <c r="H127" s="7">
        <f>+SUM(G104:G108)</f>
        <v>1190000</v>
      </c>
      <c r="I127" s="13" t="s">
        <v>75</v>
      </c>
    </row>
    <row r="128" spans="2:9" ht="15.6">
      <c r="B128" s="25" t="s">
        <v>22</v>
      </c>
      <c r="C128" s="25"/>
      <c r="D128" s="25"/>
      <c r="E128" s="25"/>
      <c r="F128" s="25"/>
      <c r="G128" s="25"/>
      <c r="H128" s="7">
        <f>+SUM(H126:H127)</f>
        <v>6790000</v>
      </c>
      <c r="I128" s="10"/>
    </row>
    <row r="130" spans="2:9" ht="15.6">
      <c r="B130" s="26" t="s">
        <v>23</v>
      </c>
      <c r="C130" s="26"/>
      <c r="D130" s="26"/>
      <c r="E130" s="26"/>
      <c r="F130" s="21" t="s">
        <v>62</v>
      </c>
      <c r="G130" s="21" t="s">
        <v>63</v>
      </c>
      <c r="H130" s="21" t="s">
        <v>64</v>
      </c>
      <c r="I130" s="21" t="s">
        <v>70</v>
      </c>
    </row>
    <row r="131" spans="2:9">
      <c r="B131" s="23" t="s">
        <v>18</v>
      </c>
      <c r="C131" s="23"/>
      <c r="D131" s="23"/>
      <c r="E131" s="23"/>
      <c r="F131" s="22"/>
      <c r="G131" s="22"/>
      <c r="H131" s="22"/>
      <c r="I131" s="22"/>
    </row>
    <row r="132" spans="2:9" ht="28.8">
      <c r="B132" s="24" t="s">
        <v>24</v>
      </c>
      <c r="C132" s="24"/>
      <c r="D132" s="24"/>
      <c r="E132" s="24"/>
      <c r="F132" s="15"/>
      <c r="G132" s="15"/>
      <c r="H132" s="7">
        <v>100000</v>
      </c>
      <c r="I132" s="4" t="s">
        <v>97</v>
      </c>
    </row>
    <row r="135" spans="2:9" ht="29.4" customHeight="1">
      <c r="B135" s="20" t="s">
        <v>95</v>
      </c>
      <c r="C135" s="7">
        <f>+SUM(H132+H128)</f>
        <v>6890000</v>
      </c>
    </row>
  </sheetData>
  <mergeCells count="76">
    <mergeCell ref="I48:I49"/>
    <mergeCell ref="B57:E57"/>
    <mergeCell ref="F57:G57"/>
    <mergeCell ref="I59:I60"/>
    <mergeCell ref="F59:F60"/>
    <mergeCell ref="G59:G60"/>
    <mergeCell ref="H59:H60"/>
    <mergeCell ref="F48:F49"/>
    <mergeCell ref="G48:G49"/>
    <mergeCell ref="H48:H49"/>
    <mergeCell ref="B59:E59"/>
    <mergeCell ref="B60:E60"/>
    <mergeCell ref="B55:E55"/>
    <mergeCell ref="B48:E48"/>
    <mergeCell ref="B50:E50"/>
    <mergeCell ref="B49:E49"/>
    <mergeCell ref="B61:E61"/>
    <mergeCell ref="B2:H2"/>
    <mergeCell ref="C4:H4"/>
    <mergeCell ref="C3:H3"/>
    <mergeCell ref="B5:H5"/>
    <mergeCell ref="B15:H15"/>
    <mergeCell ref="C16:H16"/>
    <mergeCell ref="C17:H17"/>
    <mergeCell ref="B18:H18"/>
    <mergeCell ref="B25:H25"/>
    <mergeCell ref="C26:H26"/>
    <mergeCell ref="B51:E51"/>
    <mergeCell ref="B52:E52"/>
    <mergeCell ref="B53:E53"/>
    <mergeCell ref="B54:E54"/>
    <mergeCell ref="B56:E56"/>
    <mergeCell ref="C41:H41"/>
    <mergeCell ref="B42:H42"/>
    <mergeCell ref="C27:H27"/>
    <mergeCell ref="B28:H28"/>
    <mergeCell ref="B39:H39"/>
    <mergeCell ref="C40:H40"/>
    <mergeCell ref="B67:H67"/>
    <mergeCell ref="C68:H68"/>
    <mergeCell ref="C69:H69"/>
    <mergeCell ref="B70:H70"/>
    <mergeCell ref="B83:H83"/>
    <mergeCell ref="C84:H84"/>
    <mergeCell ref="C85:H85"/>
    <mergeCell ref="B86:H86"/>
    <mergeCell ref="B93:H93"/>
    <mergeCell ref="C94:H94"/>
    <mergeCell ref="C95:H95"/>
    <mergeCell ref="B96:H96"/>
    <mergeCell ref="B110:H110"/>
    <mergeCell ref="C111:H111"/>
    <mergeCell ref="C112:H112"/>
    <mergeCell ref="B113:H113"/>
    <mergeCell ref="B119:E119"/>
    <mergeCell ref="F119:F120"/>
    <mergeCell ref="G119:G120"/>
    <mergeCell ref="H119:H120"/>
    <mergeCell ref="I119:I120"/>
    <mergeCell ref="B120:E120"/>
    <mergeCell ref="B121:E121"/>
    <mergeCell ref="B122:E122"/>
    <mergeCell ref="B123:E123"/>
    <mergeCell ref="B124:E124"/>
    <mergeCell ref="B125:E125"/>
    <mergeCell ref="B126:E126"/>
    <mergeCell ref="B127:E127"/>
    <mergeCell ref="B128:E128"/>
    <mergeCell ref="I130:I131"/>
    <mergeCell ref="B131:E131"/>
    <mergeCell ref="B132:E132"/>
    <mergeCell ref="F128:G128"/>
    <mergeCell ref="B130:E130"/>
    <mergeCell ref="F130:F131"/>
    <mergeCell ref="G130:G131"/>
    <mergeCell ref="H130:H131"/>
  </mergeCells>
  <pageMargins left="0.7" right="0.7" top="0.75" bottom="0.75" header="0.3" footer="0.3"/>
  <pageSetup paperSize="9" orientation="portrait" horizontalDpi="4294967292"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24D8C-9599-4769-93A5-4172D53D1DCD}">
  <dimension ref="A1:I21"/>
  <sheetViews>
    <sheetView tabSelected="1" zoomScale="50" zoomScaleNormal="50" workbookViewId="0">
      <selection activeCell="B8" sqref="B8"/>
    </sheetView>
  </sheetViews>
  <sheetFormatPr baseColWidth="10" defaultRowHeight="14.4"/>
  <cols>
    <col min="1" max="1" width="29.88671875" customWidth="1"/>
    <col min="2" max="3" width="44.77734375" customWidth="1"/>
    <col min="4" max="4" width="22.109375" customWidth="1"/>
    <col min="6" max="6" width="33.109375" customWidth="1"/>
    <col min="7" max="7" width="50.44140625" customWidth="1"/>
    <col min="8" max="8" width="29.33203125" style="8" customWidth="1"/>
    <col min="9" max="9" width="26" customWidth="1"/>
  </cols>
  <sheetData>
    <row r="1" spans="1:9" ht="23.4">
      <c r="A1" s="37" t="s">
        <v>141</v>
      </c>
      <c r="F1" s="37" t="s">
        <v>155</v>
      </c>
    </row>
    <row r="3" spans="1:9">
      <c r="A3" s="38" t="s">
        <v>142</v>
      </c>
      <c r="F3" s="38" t="s">
        <v>156</v>
      </c>
    </row>
    <row r="5" spans="1:9" ht="35.4" customHeight="1">
      <c r="A5" s="41" t="s">
        <v>112</v>
      </c>
      <c r="B5" s="41" t="s">
        <v>5</v>
      </c>
      <c r="C5" s="41" t="s">
        <v>144</v>
      </c>
      <c r="D5" s="41" t="s">
        <v>113</v>
      </c>
      <c r="F5" s="45" t="s">
        <v>112</v>
      </c>
      <c r="G5" s="45" t="s">
        <v>5</v>
      </c>
      <c r="H5" s="48" t="s">
        <v>144</v>
      </c>
      <c r="I5" s="45" t="s">
        <v>113</v>
      </c>
    </row>
    <row r="6" spans="1:9" ht="39" customHeight="1">
      <c r="A6" s="42" t="s">
        <v>114</v>
      </c>
      <c r="B6" s="4" t="s">
        <v>115</v>
      </c>
      <c r="C6" s="43" t="s">
        <v>145</v>
      </c>
      <c r="D6" s="43" t="s">
        <v>119</v>
      </c>
      <c r="F6" s="5" t="s">
        <v>157</v>
      </c>
      <c r="G6" s="4" t="s">
        <v>158</v>
      </c>
      <c r="H6" s="44" t="s">
        <v>174</v>
      </c>
      <c r="I6" s="4" t="s">
        <v>140</v>
      </c>
    </row>
    <row r="7" spans="1:9" ht="39" customHeight="1">
      <c r="A7" s="42"/>
      <c r="B7" s="4" t="s">
        <v>116</v>
      </c>
      <c r="C7" s="43"/>
      <c r="D7" s="43"/>
      <c r="F7" s="42" t="s">
        <v>159</v>
      </c>
      <c r="G7" s="4" t="s">
        <v>160</v>
      </c>
      <c r="H7" s="43" t="s">
        <v>176</v>
      </c>
      <c r="I7" s="43" t="s">
        <v>164</v>
      </c>
    </row>
    <row r="8" spans="1:9" ht="39" customHeight="1">
      <c r="A8" s="42"/>
      <c r="B8" s="4" t="s">
        <v>117</v>
      </c>
      <c r="C8" s="43"/>
      <c r="D8" s="43"/>
      <c r="F8" s="42"/>
      <c r="G8" s="4" t="s">
        <v>161</v>
      </c>
      <c r="H8" s="43"/>
      <c r="I8" s="43"/>
    </row>
    <row r="9" spans="1:9" ht="39" customHeight="1">
      <c r="A9" s="42"/>
      <c r="B9" s="4" t="s">
        <v>118</v>
      </c>
      <c r="C9" s="43"/>
      <c r="D9" s="43"/>
      <c r="F9" s="42"/>
      <c r="G9" s="4" t="s">
        <v>162</v>
      </c>
      <c r="H9" s="43"/>
      <c r="I9" s="43"/>
    </row>
    <row r="10" spans="1:9" ht="31.2" customHeight="1">
      <c r="A10" s="42" t="s">
        <v>120</v>
      </c>
      <c r="B10" s="4" t="s">
        <v>121</v>
      </c>
      <c r="C10" s="43" t="s">
        <v>148</v>
      </c>
      <c r="D10" s="43" t="s">
        <v>125</v>
      </c>
      <c r="F10" s="42"/>
      <c r="G10" s="4" t="s">
        <v>163</v>
      </c>
      <c r="H10" s="43"/>
      <c r="I10" s="43"/>
    </row>
    <row r="11" spans="1:9" ht="31.2" customHeight="1">
      <c r="A11" s="42"/>
      <c r="B11" s="4" t="s">
        <v>122</v>
      </c>
      <c r="C11" s="43"/>
      <c r="D11" s="43"/>
      <c r="F11" s="42" t="s">
        <v>165</v>
      </c>
      <c r="G11" s="4" t="s">
        <v>166</v>
      </c>
      <c r="H11" s="43" t="s">
        <v>178</v>
      </c>
      <c r="I11" s="43" t="s">
        <v>130</v>
      </c>
    </row>
    <row r="12" spans="1:9" ht="31.2" customHeight="1">
      <c r="A12" s="42"/>
      <c r="B12" s="4" t="s">
        <v>123</v>
      </c>
      <c r="C12" s="43"/>
      <c r="D12" s="43"/>
      <c r="F12" s="42"/>
      <c r="G12" s="4" t="s">
        <v>167</v>
      </c>
      <c r="H12" s="43"/>
      <c r="I12" s="43"/>
    </row>
    <row r="13" spans="1:9" ht="31.2" customHeight="1">
      <c r="A13" s="42"/>
      <c r="B13" s="4" t="s">
        <v>124</v>
      </c>
      <c r="C13" s="43"/>
      <c r="D13" s="43"/>
      <c r="F13" s="42"/>
      <c r="G13" s="4" t="s">
        <v>168</v>
      </c>
      <c r="H13" s="43"/>
      <c r="I13" s="43"/>
    </row>
    <row r="14" spans="1:9" ht="45" customHeight="1">
      <c r="A14" s="42" t="s">
        <v>126</v>
      </c>
      <c r="B14" s="4" t="s">
        <v>127</v>
      </c>
      <c r="C14" s="43" t="s">
        <v>150</v>
      </c>
      <c r="D14" s="43" t="s">
        <v>130</v>
      </c>
      <c r="F14" s="42"/>
      <c r="G14" s="4" t="s">
        <v>169</v>
      </c>
      <c r="H14" s="43"/>
      <c r="I14" s="43"/>
    </row>
    <row r="15" spans="1:9" ht="45" customHeight="1">
      <c r="A15" s="42"/>
      <c r="B15" s="4" t="s">
        <v>128</v>
      </c>
      <c r="C15" s="43"/>
      <c r="D15" s="43"/>
      <c r="F15" s="5" t="s">
        <v>170</v>
      </c>
      <c r="G15" s="43"/>
      <c r="H15" s="43"/>
      <c r="I15" s="5" t="s">
        <v>171</v>
      </c>
    </row>
    <row r="16" spans="1:9" ht="45" customHeight="1">
      <c r="A16" s="42"/>
      <c r="B16" s="4" t="s">
        <v>129</v>
      </c>
      <c r="C16" s="43"/>
      <c r="D16" s="43"/>
    </row>
    <row r="17" spans="1:4" ht="39.6" customHeight="1">
      <c r="A17" s="42" t="s">
        <v>131</v>
      </c>
      <c r="B17" s="4" t="s">
        <v>132</v>
      </c>
      <c r="C17" s="43" t="s">
        <v>152</v>
      </c>
      <c r="D17" s="43" t="s">
        <v>134</v>
      </c>
    </row>
    <row r="18" spans="1:4" ht="39.6" customHeight="1">
      <c r="A18" s="42"/>
      <c r="B18" s="4" t="s">
        <v>133</v>
      </c>
      <c r="C18" s="43"/>
      <c r="D18" s="43"/>
    </row>
    <row r="19" spans="1:4" ht="36" customHeight="1">
      <c r="A19" s="42" t="s">
        <v>135</v>
      </c>
      <c r="B19" s="4" t="s">
        <v>136</v>
      </c>
      <c r="C19" s="43" t="s">
        <v>154</v>
      </c>
      <c r="D19" s="43" t="s">
        <v>138</v>
      </c>
    </row>
    <row r="20" spans="1:4" ht="36" customHeight="1">
      <c r="A20" s="42"/>
      <c r="B20" s="4" t="s">
        <v>137</v>
      </c>
      <c r="C20" s="43"/>
      <c r="D20" s="43"/>
    </row>
    <row r="21" spans="1:4" ht="24" customHeight="1">
      <c r="A21" s="5" t="s">
        <v>139</v>
      </c>
      <c r="B21" s="46"/>
      <c r="C21" s="47"/>
      <c r="D21" s="5" t="s">
        <v>140</v>
      </c>
    </row>
  </sheetData>
  <autoFilter ref="A5:D21" xr:uid="{A3B24D8C-9599-4769-93A5-4172D53D1DCD}"/>
  <mergeCells count="23">
    <mergeCell ref="B21:C21"/>
    <mergeCell ref="G15:H15"/>
    <mergeCell ref="F7:F10"/>
    <mergeCell ref="I7:I10"/>
    <mergeCell ref="F11:F14"/>
    <mergeCell ref="I11:I14"/>
    <mergeCell ref="H7:H10"/>
    <mergeCell ref="H11:H14"/>
    <mergeCell ref="A17:A18"/>
    <mergeCell ref="D17:D18"/>
    <mergeCell ref="A19:A20"/>
    <mergeCell ref="D19:D20"/>
    <mergeCell ref="C6:C9"/>
    <mergeCell ref="C10:C13"/>
    <mergeCell ref="C14:C16"/>
    <mergeCell ref="C17:C18"/>
    <mergeCell ref="C19:C20"/>
    <mergeCell ref="A6:A9"/>
    <mergeCell ref="D6:D9"/>
    <mergeCell ref="A10:A13"/>
    <mergeCell ref="D10:D13"/>
    <mergeCell ref="A14:A16"/>
    <mergeCell ref="D14:D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AEE60-FFDA-49A7-975A-4287856C5E29}">
  <dimension ref="A1:D21"/>
  <sheetViews>
    <sheetView topLeftCell="A7" workbookViewId="0">
      <selection activeCell="C20" sqref="C20"/>
    </sheetView>
  </sheetViews>
  <sheetFormatPr baseColWidth="10" defaultRowHeight="14.4"/>
  <cols>
    <col min="1" max="4" width="37.5546875" style="19" customWidth="1"/>
  </cols>
  <sheetData>
    <row r="1" spans="1:4" ht="23.4">
      <c r="A1" s="39" t="s">
        <v>141</v>
      </c>
    </row>
    <row r="3" spans="1:4">
      <c r="A3" s="40" t="s">
        <v>142</v>
      </c>
    </row>
    <row r="5" spans="1:4">
      <c r="A5" s="34" t="s">
        <v>143</v>
      </c>
      <c r="B5" s="34" t="s">
        <v>5</v>
      </c>
      <c r="C5" s="34" t="s">
        <v>144</v>
      </c>
      <c r="D5" s="34" t="s">
        <v>113</v>
      </c>
    </row>
    <row r="6" spans="1:4" ht="43.2">
      <c r="A6" s="34" t="s">
        <v>114</v>
      </c>
      <c r="B6" s="33" t="s">
        <v>145</v>
      </c>
      <c r="C6" s="33" t="s">
        <v>146</v>
      </c>
      <c r="D6" s="33" t="s">
        <v>119</v>
      </c>
    </row>
    <row r="7" spans="1:4" ht="43.2">
      <c r="A7" s="34" t="s">
        <v>120</v>
      </c>
      <c r="B7" s="33" t="s">
        <v>147</v>
      </c>
      <c r="C7" s="33" t="s">
        <v>148</v>
      </c>
      <c r="D7" s="33" t="s">
        <v>125</v>
      </c>
    </row>
    <row r="8" spans="1:4" ht="43.2">
      <c r="A8" s="34" t="s">
        <v>126</v>
      </c>
      <c r="B8" s="33" t="s">
        <v>149</v>
      </c>
      <c r="C8" s="33" t="s">
        <v>150</v>
      </c>
      <c r="D8" s="33" t="s">
        <v>130</v>
      </c>
    </row>
    <row r="9" spans="1:4" ht="28.8">
      <c r="A9" s="34" t="s">
        <v>131</v>
      </c>
      <c r="B9" s="33" t="s">
        <v>151</v>
      </c>
      <c r="C9" s="33" t="s">
        <v>152</v>
      </c>
      <c r="D9" s="33" t="s">
        <v>134</v>
      </c>
    </row>
    <row r="10" spans="1:4" ht="28.8">
      <c r="A10" s="34" t="s">
        <v>135</v>
      </c>
      <c r="B10" s="33" t="s">
        <v>153</v>
      </c>
      <c r="C10" s="33" t="s">
        <v>154</v>
      </c>
      <c r="D10" s="33" t="s">
        <v>138</v>
      </c>
    </row>
    <row r="11" spans="1:4">
      <c r="A11" s="34" t="s">
        <v>139</v>
      </c>
      <c r="B11" s="33"/>
      <c r="C11" s="33"/>
      <c r="D11" s="34" t="s">
        <v>140</v>
      </c>
    </row>
    <row r="13" spans="1:4" ht="23.4">
      <c r="A13" s="37" t="s">
        <v>155</v>
      </c>
      <c r="B13"/>
      <c r="C13"/>
      <c r="D13"/>
    </row>
    <row r="14" spans="1:4">
      <c r="A14"/>
      <c r="B14"/>
      <c r="C14"/>
      <c r="D14"/>
    </row>
    <row r="15" spans="1:4">
      <c r="A15" s="38" t="s">
        <v>172</v>
      </c>
      <c r="B15"/>
      <c r="C15"/>
      <c r="D15"/>
    </row>
    <row r="16" spans="1:4">
      <c r="A16"/>
      <c r="B16"/>
      <c r="C16"/>
      <c r="D16"/>
    </row>
    <row r="17" spans="1:4">
      <c r="A17" s="34" t="s">
        <v>143</v>
      </c>
      <c r="B17" s="34" t="s">
        <v>5</v>
      </c>
      <c r="C17" s="34" t="s">
        <v>144</v>
      </c>
      <c r="D17" s="34" t="s">
        <v>113</v>
      </c>
    </row>
    <row r="18" spans="1:4" ht="43.2">
      <c r="A18" s="36" t="s">
        <v>157</v>
      </c>
      <c r="B18" s="35" t="s">
        <v>173</v>
      </c>
      <c r="C18" s="35" t="s">
        <v>174</v>
      </c>
      <c r="D18" s="35" t="s">
        <v>140</v>
      </c>
    </row>
    <row r="19" spans="1:4" ht="43.2">
      <c r="A19" s="36" t="s">
        <v>159</v>
      </c>
      <c r="B19" s="35" t="s">
        <v>175</v>
      </c>
      <c r="C19" s="35" t="s">
        <v>176</v>
      </c>
      <c r="D19" s="35" t="s">
        <v>164</v>
      </c>
    </row>
    <row r="20" spans="1:4" ht="43.2">
      <c r="A20" s="36" t="s">
        <v>165</v>
      </c>
      <c r="B20" s="35" t="s">
        <v>177</v>
      </c>
      <c r="C20" s="35" t="s">
        <v>178</v>
      </c>
      <c r="D20" s="35" t="s">
        <v>130</v>
      </c>
    </row>
    <row r="21" spans="1:4">
      <c r="A21" s="36" t="s">
        <v>170</v>
      </c>
      <c r="B21" s="35"/>
      <c r="C21" s="35"/>
      <c r="D21" s="36" t="s">
        <v>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PROPUESTAS TECNICAS</vt:lpstr>
      <vt:lpstr>Hoja3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ARNALDO MONTIEL BRUN</dc:creator>
  <cp:lastModifiedBy>GERSON JONNATHAN LOPEZ OVIEDO</cp:lastModifiedBy>
  <cp:lastPrinted>2025-08-17T04:04:20Z</cp:lastPrinted>
  <dcterms:created xsi:type="dcterms:W3CDTF">2025-08-12T19:57:35Z</dcterms:created>
  <dcterms:modified xsi:type="dcterms:W3CDTF">2025-08-31T01:16:13Z</dcterms:modified>
</cp:coreProperties>
</file>