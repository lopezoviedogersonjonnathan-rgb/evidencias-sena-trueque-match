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Sandra\Desktop\SENA OFICIAL\(1) Fases\(2) Fase de analisis\Grabaciones\(18) Grabación conferencia web. GA2-220501094-AA1-EV02. - GA2-220501094-AA1-EV03. 12082025\"/>
    </mc:Choice>
  </mc:AlternateContent>
  <xr:revisionPtr revIDLastSave="0" documentId="13_ncr:1_{12BFE14E-F31B-4DD9-A374-B99E5CB336D0}" xr6:coauthVersionLast="47" xr6:coauthVersionMax="47" xr10:uidLastSave="{00000000-0000-0000-0000-000000000000}"/>
  <bookViews>
    <workbookView xWindow="-108" yWindow="-108" windowWidth="23256" windowHeight="12576" xr2:uid="{1E5ABD9B-7BAE-4744-85E1-41FEE5C6BC6C}"/>
  </bookViews>
  <sheets>
    <sheet name="Hoja1" sheetId="1" r:id="rId1"/>
  </sheet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3" i="1" l="1"/>
  <c r="H125" i="1" s="1"/>
  <c r="H55" i="1"/>
  <c r="H57" i="1" s="1"/>
</calcChain>
</file>

<file path=xl/sharedStrings.xml><?xml version="1.0" encoding="utf-8"?>
<sst xmlns="http://schemas.openxmlformats.org/spreadsheetml/2006/main" count="297" uniqueCount="96">
  <si>
    <t>Ficha tecnica Hardware</t>
  </si>
  <si>
    <t>Dispositivo</t>
  </si>
  <si>
    <t xml:space="preserve">Servidor </t>
  </si>
  <si>
    <t>Proyecto</t>
  </si>
  <si>
    <t>Caracteristicas fisicas (Hardware)</t>
  </si>
  <si>
    <t>Nombre del proyecto</t>
  </si>
  <si>
    <t>Item</t>
  </si>
  <si>
    <t>Cantidad</t>
  </si>
  <si>
    <t>Componente</t>
  </si>
  <si>
    <t>Descripción</t>
  </si>
  <si>
    <t>Monitor</t>
  </si>
  <si>
    <t>16" o superior - Resolución de pantalla 1024 x 768</t>
  </si>
  <si>
    <t>CPU</t>
  </si>
  <si>
    <t>Teclado</t>
  </si>
  <si>
    <t xml:space="preserve">Basico </t>
  </si>
  <si>
    <t>RAM</t>
  </si>
  <si>
    <t>12GB</t>
  </si>
  <si>
    <t xml:space="preserve">Cliente </t>
  </si>
  <si>
    <t>Procesador Core I7 o superior</t>
  </si>
  <si>
    <t>8GB</t>
  </si>
  <si>
    <t>Ficha tecnica Software</t>
  </si>
  <si>
    <t>Caracteristicas fisicas (Software)</t>
  </si>
  <si>
    <t>Licencia propietario</t>
  </si>
  <si>
    <t>Licencia Libre</t>
  </si>
  <si>
    <t>Costos directos</t>
  </si>
  <si>
    <t>Actividad</t>
  </si>
  <si>
    <t>Asesoria</t>
  </si>
  <si>
    <t>Analisis de desarrollo</t>
  </si>
  <si>
    <t>Desarrollo del software</t>
  </si>
  <si>
    <t>Licencia de desarrollo</t>
  </si>
  <si>
    <t>Capacitación</t>
  </si>
  <si>
    <t>Total</t>
  </si>
  <si>
    <t>Costos indirectos</t>
  </si>
  <si>
    <t>Internet</t>
  </si>
  <si>
    <t>TRUEQUE MATCH</t>
  </si>
  <si>
    <t>Portátil Acer Core i7</t>
  </si>
  <si>
    <t>16" o superior – Resolución 1024x768</t>
  </si>
  <si>
    <t>Procesador Core i9 o superior</t>
  </si>
  <si>
    <t>PostgreSQL</t>
  </si>
  <si>
    <t>Observaciones</t>
  </si>
  <si>
    <t>Sistema operativo Linux (Ubuntu)</t>
  </si>
  <si>
    <t>Node.js v18+</t>
  </si>
  <si>
    <t>Nginx</t>
  </si>
  <si>
    <t>GitHub (plan básico)</t>
  </si>
  <si>
    <t>Certificado SSL (Let’s Encrypt)</t>
  </si>
  <si>
    <t>Microsoft Office 365</t>
  </si>
  <si>
    <t>Linux Ubuntu</t>
  </si>
  <si>
    <t>Navegadores (Chrome, Firefox, Edge)</t>
  </si>
  <si>
    <t>App móvil TRUEQUE MATCH (beta)</t>
  </si>
  <si>
    <t>Equipo Principal de desarrollo</t>
  </si>
  <si>
    <t>Obserbaciones</t>
  </si>
  <si>
    <t>Requerido para alto rendimiento</t>
  </si>
  <si>
    <t>Entrada de datos estándar</t>
  </si>
  <si>
    <t>Mejora el desempeño en programación y pruebas</t>
  </si>
  <si>
    <t>Celulares Xiaomi</t>
  </si>
  <si>
    <t>Androit 8.0+, 3 GB RAM</t>
  </si>
  <si>
    <t>Celular Redmi 4.0 (2GB)</t>
  </si>
  <si>
    <t>Gama baja para puebas de compatibilidad</t>
  </si>
  <si>
    <t>Prar puebas de la app</t>
  </si>
  <si>
    <t>Para pruebas de la app</t>
  </si>
  <si>
    <t>representa que cualquier usuario necesita una pantalla adecuada para ver bien la aplicación (ya sea en un PC o en un celular moderno con buena resolución).</t>
  </si>
  <si>
    <t>significa que el dispositivo de prueba (PC o celular) debe tener memoria suficiente para navegar de forma fluida y no quedarse pegado.</t>
  </si>
  <si>
    <t>representa el método de entrada (el teclado en PC o el teclado táctil en celular).</t>
  </si>
  <si>
    <t>simboliza que el usuario debe tener un equipo con la capacidad suficiente para correr la app de prueba en un computador (aunque en la realidad, la mayoría lo haría en el celular)</t>
  </si>
  <si>
    <t>PC i3</t>
  </si>
  <si>
    <t>Procesador Core i3, 4 GB RAM</t>
  </si>
  <si>
    <t>Pruebas en navegadores web</t>
  </si>
  <si>
    <r>
      <t xml:space="preserve">Es un </t>
    </r>
    <r>
      <rPr>
        <b/>
        <sz val="11"/>
        <color theme="1"/>
        <rFont val="Calibri"/>
        <family val="2"/>
        <scheme val="minor"/>
      </rPr>
      <t>sistema operativo gratuito</t>
    </r>
    <r>
      <rPr>
        <sz val="11"/>
        <color theme="1"/>
        <rFont val="Calibri"/>
        <family val="2"/>
        <scheme val="minor"/>
      </rPr>
      <t xml:space="preserve"> (como Windows, pero libre). Es la “base” donde corre todo en un PC. Lo usamos para simular que cualquier persona podría probar la aplicación sin pagar licencias de Windows.</t>
    </r>
  </si>
  <si>
    <r>
      <t xml:space="preserve">Son los </t>
    </r>
    <r>
      <rPr>
        <b/>
        <sz val="11"/>
        <color theme="1"/>
        <rFont val="Calibri"/>
        <family val="2"/>
        <scheme val="minor"/>
      </rPr>
      <t>puentes de entrada</t>
    </r>
    <r>
      <rPr>
        <sz val="11"/>
        <color theme="1"/>
        <rFont val="Calibri"/>
        <family val="2"/>
        <scheme val="minor"/>
      </rPr>
      <t xml:space="preserve"> a la aplicación desde internet. Representan cómo los usuarios accederán a la app Trueque Match en versión web.</t>
    </r>
  </si>
  <si>
    <t>Instalación en celulares de prueba vía APK. Es la versión de prueba de la aplicación que se instala en celulares.Simula cómo el usuario común la descargaría e instalaría para empezar a hacer intercambios.</t>
  </si>
  <si>
    <r>
      <t xml:space="preserve">Un </t>
    </r>
    <r>
      <rPr>
        <b/>
        <sz val="11"/>
        <color theme="1"/>
        <rFont val="Calibri"/>
        <family val="2"/>
        <scheme val="minor"/>
      </rPr>
      <t>gran cuaderno digital</t>
    </r>
    <r>
      <rPr>
        <sz val="11"/>
        <color theme="1"/>
        <rFont val="Calibri"/>
        <family val="2"/>
        <scheme val="minor"/>
      </rPr>
      <t xml:space="preserve"> que guarda toda la información (usuarios, ofertas, intercambios). Es la base de datos de la aplicación.</t>
    </r>
  </si>
  <si>
    <r>
      <t xml:space="preserve">El </t>
    </r>
    <r>
      <rPr>
        <b/>
        <sz val="11"/>
        <color theme="1"/>
        <rFont val="Calibri"/>
        <family val="2"/>
        <scheme val="minor"/>
      </rPr>
      <t>piso gratuito</t>
    </r>
    <r>
      <rPr>
        <sz val="11"/>
        <color theme="1"/>
        <rFont val="Calibri"/>
        <family val="2"/>
        <scheme val="minor"/>
      </rPr>
      <t xml:space="preserve"> donde se monta todo el servidor. Es la plataforma base del sistema, sin costo.</t>
    </r>
  </si>
  <si>
    <r>
      <t xml:space="preserve">Un </t>
    </r>
    <r>
      <rPr>
        <b/>
        <sz val="11"/>
        <color theme="1"/>
        <rFont val="Calibri"/>
        <family val="2"/>
        <scheme val="minor"/>
      </rPr>
      <t>motor que ejecuta las órdenes</t>
    </r>
    <r>
      <rPr>
        <sz val="11"/>
        <color theme="1"/>
        <rFont val="Calibri"/>
        <family val="2"/>
        <scheme val="minor"/>
      </rPr>
      <t xml:space="preserve"> que los usuarios envían (ej: registrar usuario, aceptar trueque). Es el cerebro que procesa la lógica de la app.</t>
    </r>
  </si>
  <si>
    <r>
      <t xml:space="preserve">El </t>
    </r>
    <r>
      <rPr>
        <b/>
        <sz val="11"/>
        <color theme="1"/>
        <rFont val="Calibri"/>
        <family val="2"/>
        <scheme val="minor"/>
      </rPr>
      <t>portero del mercado</t>
    </r>
    <r>
      <rPr>
        <sz val="11"/>
        <color theme="1"/>
        <rFont val="Calibri"/>
        <family val="2"/>
        <scheme val="minor"/>
      </rPr>
      <t>: organiza a la gente que entra, evita aglomeraciones y redirige a donde deben ir. Sirve como servidor de pruebas y balanceador.</t>
    </r>
  </si>
  <si>
    <r>
      <t xml:space="preserve">El </t>
    </r>
    <r>
      <rPr>
        <b/>
        <sz val="11"/>
        <color theme="1"/>
        <rFont val="Calibri"/>
        <family val="2"/>
        <scheme val="minor"/>
      </rPr>
      <t>candado de seguridad</t>
    </r>
    <r>
      <rPr>
        <sz val="11"/>
        <color theme="1"/>
        <rFont val="Calibri"/>
        <family val="2"/>
        <scheme val="minor"/>
      </rPr>
      <t xml:space="preserve"> en la entrada del mercado. Protege los datos de usuarios (contraseñas, info personal).</t>
    </r>
  </si>
  <si>
    <r>
      <t xml:space="preserve">El </t>
    </r>
    <r>
      <rPr>
        <b/>
        <sz val="11"/>
        <color theme="1"/>
        <rFont val="Calibri"/>
        <family val="2"/>
        <scheme val="minor"/>
      </rPr>
      <t>kit de oficina</t>
    </r>
    <r>
      <rPr>
        <sz val="11"/>
        <color theme="1"/>
        <rFont val="Calibri"/>
        <family val="2"/>
        <scheme val="minor"/>
      </rPr>
      <t>: Word, Excel, PowerPoint. Nos sirve para documentar informes, costos, fichas técnicas y presentaciones.</t>
    </r>
  </si>
  <si>
    <t>Precio unitario</t>
  </si>
  <si>
    <t>Costo hora</t>
  </si>
  <si>
    <t>Total hora</t>
  </si>
  <si>
    <t>Costo total</t>
  </si>
  <si>
    <t>En nuestro caso no se paga, lo hacemos de forma autónoma.</t>
  </si>
  <si>
    <t>El análisis lo hacemos nosotros mismos.</t>
  </si>
  <si>
    <t>Valor referencial de la programación y pruebas.</t>
  </si>
  <si>
    <t>Usamos software libre (Linux, Node, PostgreSQL), por eso no hay gasto real.</t>
  </si>
  <si>
    <t>Nuestro aprendizaje proviene del SENA y recursos gratuitos.</t>
  </si>
  <si>
    <t>Observación</t>
  </si>
  <si>
    <t>Contamos con estos equipos que tienen en total ese valor estimado.</t>
  </si>
  <si>
    <r>
      <t xml:space="preserve">El </t>
    </r>
    <r>
      <rPr>
        <b/>
        <sz val="11"/>
        <color theme="1"/>
        <rFont val="Calibri"/>
        <family val="2"/>
        <scheme val="minor"/>
      </rPr>
      <t>kit de oficina</t>
    </r>
    <r>
      <rPr>
        <sz val="11"/>
        <color theme="1"/>
        <rFont val="Calibri"/>
        <family val="2"/>
        <scheme val="minor"/>
      </rPr>
      <t>: Word, Excel, PowerPoint.</t>
    </r>
  </si>
  <si>
    <r>
      <t xml:space="preserve">Nos sirve para </t>
    </r>
    <r>
      <rPr>
        <b/>
        <sz val="11"/>
        <color theme="1"/>
        <rFont val="Calibri"/>
        <family val="2"/>
        <scheme val="minor"/>
      </rPr>
      <t>documentar informes, costos, fichas técnicas y presentaciones</t>
    </r>
    <r>
      <rPr>
        <sz val="11"/>
        <color theme="1"/>
        <rFont val="Calibri"/>
        <family val="2"/>
        <scheme val="minor"/>
      </rPr>
      <t>.</t>
    </r>
  </si>
  <si>
    <t>Software servidor (paquete office)</t>
  </si>
  <si>
    <t>Licencia pagada para, documentar informes, costos, fichas técnicas y presentaciones.</t>
  </si>
  <si>
    <t>Hadware servidor (Portatil, celulares y procesador)</t>
  </si>
  <si>
    <t>Este es uhn valor mensual del servicio de internet</t>
  </si>
  <si>
    <t>Servidor en la Nube (Cloud)</t>
  </si>
  <si>
    <t>Un servicio de hosting profesional para el despliegue de la aplicación.</t>
  </si>
  <si>
    <r>
      <rPr>
        <b/>
        <sz val="11"/>
        <color theme="1"/>
        <rFont val="Calibri"/>
        <family val="2"/>
        <scheme val="minor"/>
      </rPr>
      <t>Escalabilidad:</t>
    </r>
    <r>
      <rPr>
        <sz val="11"/>
        <color theme="1"/>
        <rFont val="Calibri"/>
        <family val="2"/>
        <scheme val="minor"/>
      </rPr>
      <t xml:space="preserve"> Puede manejar picos de tráfico si la app se hace popular.                                          </t>
    </r>
    <r>
      <rPr>
        <b/>
        <sz val="11"/>
        <color theme="1"/>
        <rFont val="Calibri"/>
        <family val="2"/>
        <scheme val="minor"/>
      </rPr>
      <t>Mantenimiento:</t>
    </r>
    <r>
      <rPr>
        <sz val="11"/>
        <color theme="1"/>
        <rFont val="Calibri"/>
        <family val="2"/>
        <scheme val="minor"/>
      </rPr>
      <t xml:space="preserve"> El proveedor se encarga de la seguridad, el respaldo y las actualizaciones.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</si>
</sst>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59999389629810485"/>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4">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1" xfId="0" applyFont="1" applyBorder="1"/>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left" vertical="center" wrapText="1"/>
    </xf>
    <xf numFmtId="3" fontId="0" fillId="0" borderId="1" xfId="0" applyNumberFormat="1" applyBorder="1" applyAlignment="1">
      <alignment horizontal="right" vertical="center"/>
    </xf>
    <xf numFmtId="3" fontId="0" fillId="0" borderId="1" xfId="0" applyNumberForma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xf>
    <xf numFmtId="0" fontId="1" fillId="2" borderId="1" xfId="0" applyFont="1" applyFill="1" applyBorder="1" applyAlignment="1">
      <alignment horizontal="center"/>
    </xf>
    <xf numFmtId="0" fontId="0" fillId="4" borderId="1" xfId="0" applyFill="1"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0" fontId="0" fillId="0" borderId="0"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76200</xdr:colOff>
      <xdr:row>63</xdr:row>
      <xdr:rowOff>91440</xdr:rowOff>
    </xdr:from>
    <xdr:to>
      <xdr:col>9</xdr:col>
      <xdr:colOff>533400</xdr:colOff>
      <xdr:row>63</xdr:row>
      <xdr:rowOff>121920</xdr:rowOff>
    </xdr:to>
    <xdr:cxnSp macro="">
      <xdr:nvCxnSpPr>
        <xdr:cNvPr id="5" name="Conector recto 4">
          <a:extLst>
            <a:ext uri="{FF2B5EF4-FFF2-40B4-BE49-F238E27FC236}">
              <a16:creationId xmlns:a16="http://schemas.microsoft.com/office/drawing/2014/main" id="{9241798D-4F40-D183-EC31-80EC331C5DCB}"/>
            </a:ext>
          </a:extLst>
        </xdr:cNvPr>
        <xdr:cNvCxnSpPr/>
      </xdr:nvCxnSpPr>
      <xdr:spPr>
        <a:xfrm>
          <a:off x="76200" y="24612600"/>
          <a:ext cx="19187160" cy="30480"/>
        </a:xfrm>
        <a:prstGeom prst="line">
          <a:avLst/>
        </a:prstGeom>
        <a:ln w="76200"/>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02C9-8C67-4A3B-9637-2C35B282C245}">
  <sheetPr>
    <pageSetUpPr autoPageBreaks="0"/>
  </sheetPr>
  <dimension ref="B2:I129"/>
  <sheetViews>
    <sheetView showGridLines="0" tabSelected="1" topLeftCell="E62" zoomScale="50" zoomScaleNormal="50" zoomScalePageLayoutView="56" workbookViewId="0">
      <selection activeCell="I79" sqref="I79"/>
    </sheetView>
  </sheetViews>
  <sheetFormatPr baseColWidth="10" defaultRowHeight="14.4"/>
  <cols>
    <col min="2" max="2" width="16.44140625" customWidth="1"/>
    <col min="4" max="4" width="31.44140625" style="8" customWidth="1"/>
    <col min="5" max="5" width="47.33203125" bestFit="1" customWidth="1"/>
    <col min="6" max="7" width="16.21875" customWidth="1"/>
    <col min="8" max="8" width="82.5546875" style="11" customWidth="1"/>
    <col min="9" max="9" width="39.44140625" customWidth="1"/>
  </cols>
  <sheetData>
    <row r="2" spans="2:8" s="8" customFormat="1" ht="30" customHeight="1">
      <c r="B2" s="25" t="s">
        <v>0</v>
      </c>
      <c r="C2" s="25"/>
      <c r="D2" s="25"/>
      <c r="E2" s="25"/>
      <c r="F2" s="25"/>
      <c r="G2" s="25"/>
      <c r="H2" s="25"/>
    </row>
    <row r="3" spans="2:8" s="8" customFormat="1" ht="30" customHeight="1">
      <c r="B3" s="17" t="s">
        <v>1</v>
      </c>
      <c r="C3" s="30" t="s">
        <v>2</v>
      </c>
      <c r="D3" s="30"/>
      <c r="E3" s="30"/>
      <c r="F3" s="30"/>
      <c r="G3" s="30"/>
      <c r="H3" s="30"/>
    </row>
    <row r="4" spans="2:8" s="8" customFormat="1" ht="30" customHeight="1">
      <c r="B4" s="17" t="s">
        <v>3</v>
      </c>
      <c r="C4" s="24" t="s">
        <v>34</v>
      </c>
      <c r="D4" s="24"/>
      <c r="E4" s="24"/>
      <c r="F4" s="24"/>
      <c r="G4" s="24"/>
      <c r="H4" s="24"/>
    </row>
    <row r="5" spans="2:8" ht="21.6" customHeight="1">
      <c r="B5" s="24" t="s">
        <v>4</v>
      </c>
      <c r="C5" s="24"/>
      <c r="D5" s="24"/>
      <c r="E5" s="24"/>
      <c r="F5" s="24"/>
      <c r="G5" s="24"/>
      <c r="H5" s="24"/>
    </row>
    <row r="6" spans="2:8">
      <c r="B6" s="2" t="s">
        <v>6</v>
      </c>
      <c r="C6" s="2" t="s">
        <v>7</v>
      </c>
      <c r="D6" s="6" t="s">
        <v>8</v>
      </c>
      <c r="E6" s="2" t="s">
        <v>9</v>
      </c>
      <c r="F6" s="2" t="s">
        <v>76</v>
      </c>
      <c r="G6" s="2" t="s">
        <v>31</v>
      </c>
      <c r="H6" s="6" t="s">
        <v>50</v>
      </c>
    </row>
    <row r="7" spans="2:8">
      <c r="B7" s="1">
        <v>1</v>
      </c>
      <c r="C7" s="1">
        <v>1</v>
      </c>
      <c r="D7" s="7" t="s">
        <v>35</v>
      </c>
      <c r="E7" s="1" t="s">
        <v>36</v>
      </c>
      <c r="F7" s="1">
        <v>3000000</v>
      </c>
      <c r="G7" s="1">
        <v>3000000</v>
      </c>
      <c r="H7" s="12" t="s">
        <v>49</v>
      </c>
    </row>
    <row r="8" spans="2:8">
      <c r="B8" s="1">
        <v>2</v>
      </c>
      <c r="C8" s="1">
        <v>1</v>
      </c>
      <c r="D8" s="7" t="s">
        <v>12</v>
      </c>
      <c r="E8" s="1" t="s">
        <v>37</v>
      </c>
      <c r="F8" s="1">
        <v>0</v>
      </c>
      <c r="G8" s="1">
        <v>0</v>
      </c>
      <c r="H8" s="12" t="s">
        <v>51</v>
      </c>
    </row>
    <row r="9" spans="2:8">
      <c r="B9" s="1">
        <v>3</v>
      </c>
      <c r="C9" s="1">
        <v>1</v>
      </c>
      <c r="D9" s="7" t="s">
        <v>13</v>
      </c>
      <c r="E9" s="1" t="s">
        <v>14</v>
      </c>
      <c r="F9" s="1">
        <v>0</v>
      </c>
      <c r="G9" s="1">
        <v>0</v>
      </c>
      <c r="H9" s="12" t="s">
        <v>52</v>
      </c>
    </row>
    <row r="10" spans="2:8">
      <c r="B10" s="1">
        <v>4</v>
      </c>
      <c r="C10" s="1">
        <v>1</v>
      </c>
      <c r="D10" s="7" t="s">
        <v>15</v>
      </c>
      <c r="E10" s="1" t="s">
        <v>16</v>
      </c>
      <c r="F10" s="1">
        <v>0</v>
      </c>
      <c r="G10" s="1">
        <v>0</v>
      </c>
      <c r="H10" s="13" t="s">
        <v>53</v>
      </c>
    </row>
    <row r="11" spans="2:8">
      <c r="B11" s="1">
        <v>5</v>
      </c>
      <c r="C11" s="1">
        <v>1</v>
      </c>
      <c r="D11" s="7" t="s">
        <v>54</v>
      </c>
      <c r="E11" s="1" t="s">
        <v>55</v>
      </c>
      <c r="F11" s="1">
        <v>600000</v>
      </c>
      <c r="G11" s="1">
        <v>600000</v>
      </c>
      <c r="H11" s="13" t="s">
        <v>59</v>
      </c>
    </row>
    <row r="12" spans="2:8">
      <c r="B12" s="1">
        <v>6</v>
      </c>
      <c r="C12" s="1">
        <v>1</v>
      </c>
      <c r="D12" s="7" t="s">
        <v>56</v>
      </c>
      <c r="E12" s="1" t="s">
        <v>57</v>
      </c>
      <c r="F12" s="1">
        <v>400000</v>
      </c>
      <c r="G12" s="1">
        <v>400000</v>
      </c>
      <c r="H12" s="12" t="s">
        <v>58</v>
      </c>
    </row>
    <row r="13" spans="2:8">
      <c r="B13" s="1">
        <v>7</v>
      </c>
      <c r="C13" s="1">
        <v>1</v>
      </c>
      <c r="D13" s="7" t="s">
        <v>64</v>
      </c>
      <c r="E13" s="1" t="s">
        <v>65</v>
      </c>
      <c r="F13" s="1">
        <v>1200000</v>
      </c>
      <c r="G13" s="1">
        <v>1200000</v>
      </c>
      <c r="H13" s="12" t="s">
        <v>66</v>
      </c>
    </row>
    <row r="14" spans="2:8" ht="26.4" customHeight="1"/>
    <row r="15" spans="2:8" ht="25.2" customHeight="1">
      <c r="B15" s="25" t="s">
        <v>0</v>
      </c>
      <c r="C15" s="25"/>
      <c r="D15" s="25"/>
      <c r="E15" s="25"/>
      <c r="F15" s="25"/>
      <c r="G15" s="25"/>
      <c r="H15" s="25"/>
    </row>
    <row r="16" spans="2:8" ht="25.2" customHeight="1">
      <c r="B16" s="18" t="s">
        <v>1</v>
      </c>
      <c r="C16" s="26" t="s">
        <v>17</v>
      </c>
      <c r="D16" s="26"/>
      <c r="E16" s="26"/>
      <c r="F16" s="26"/>
      <c r="G16" s="26"/>
      <c r="H16" s="26"/>
    </row>
    <row r="17" spans="2:8" ht="25.2" customHeight="1">
      <c r="B17" s="18" t="s">
        <v>3</v>
      </c>
      <c r="C17" s="24" t="s">
        <v>34</v>
      </c>
      <c r="D17" s="24"/>
      <c r="E17" s="24"/>
      <c r="F17" s="24"/>
      <c r="G17" s="24"/>
      <c r="H17" s="24"/>
    </row>
    <row r="18" spans="2:8" ht="25.2" customHeight="1">
      <c r="B18" s="24" t="s">
        <v>4</v>
      </c>
      <c r="C18" s="24"/>
      <c r="D18" s="24"/>
      <c r="E18" s="24"/>
      <c r="F18" s="24"/>
      <c r="G18" s="24"/>
      <c r="H18" s="24"/>
    </row>
    <row r="19" spans="2:8">
      <c r="B19" s="2" t="s">
        <v>6</v>
      </c>
      <c r="C19" s="2" t="s">
        <v>7</v>
      </c>
      <c r="D19" s="6" t="s">
        <v>8</v>
      </c>
      <c r="E19" s="2" t="s">
        <v>9</v>
      </c>
      <c r="F19" s="2" t="s">
        <v>76</v>
      </c>
      <c r="G19" s="2" t="s">
        <v>31</v>
      </c>
      <c r="H19" s="6" t="s">
        <v>39</v>
      </c>
    </row>
    <row r="20" spans="2:8" ht="65.400000000000006" customHeight="1">
      <c r="B20" s="7">
        <v>1</v>
      </c>
      <c r="C20" s="7">
        <v>1</v>
      </c>
      <c r="D20" s="7" t="s">
        <v>10</v>
      </c>
      <c r="E20" s="7" t="s">
        <v>11</v>
      </c>
      <c r="F20" s="7">
        <v>0</v>
      </c>
      <c r="G20" s="7">
        <v>0</v>
      </c>
      <c r="H20" s="13" t="s">
        <v>60</v>
      </c>
    </row>
    <row r="21" spans="2:8" ht="65.400000000000006" customHeight="1">
      <c r="B21" s="7">
        <v>2</v>
      </c>
      <c r="C21" s="7">
        <v>1</v>
      </c>
      <c r="D21" s="7" t="s">
        <v>12</v>
      </c>
      <c r="E21" s="7" t="s">
        <v>18</v>
      </c>
      <c r="F21" s="7">
        <v>0</v>
      </c>
      <c r="G21" s="7">
        <v>0</v>
      </c>
      <c r="H21" s="13" t="s">
        <v>63</v>
      </c>
    </row>
    <row r="22" spans="2:8" ht="65.400000000000006" customHeight="1">
      <c r="B22" s="7">
        <v>3</v>
      </c>
      <c r="C22" s="7">
        <v>1</v>
      </c>
      <c r="D22" s="7" t="s">
        <v>13</v>
      </c>
      <c r="E22" s="7" t="s">
        <v>14</v>
      </c>
      <c r="F22" s="7">
        <v>0</v>
      </c>
      <c r="G22" s="7">
        <v>0</v>
      </c>
      <c r="H22" s="13" t="s">
        <v>62</v>
      </c>
    </row>
    <row r="23" spans="2:8" ht="65.400000000000006" customHeight="1">
      <c r="B23" s="7">
        <v>4</v>
      </c>
      <c r="C23" s="7">
        <v>1</v>
      </c>
      <c r="D23" s="7" t="s">
        <v>15</v>
      </c>
      <c r="E23" s="7" t="s">
        <v>19</v>
      </c>
      <c r="F23" s="7">
        <v>0</v>
      </c>
      <c r="G23" s="7">
        <v>0</v>
      </c>
      <c r="H23" s="13" t="s">
        <v>61</v>
      </c>
    </row>
    <row r="24" spans="2:8" ht="28.8" customHeight="1"/>
    <row r="25" spans="2:8" ht="21.6" customHeight="1">
      <c r="B25" s="25" t="s">
        <v>20</v>
      </c>
      <c r="C25" s="25"/>
      <c r="D25" s="25"/>
      <c r="E25" s="25"/>
      <c r="F25" s="25"/>
      <c r="G25" s="25"/>
      <c r="H25" s="25"/>
    </row>
    <row r="26" spans="2:8" ht="21.6" customHeight="1">
      <c r="B26" s="18" t="s">
        <v>1</v>
      </c>
      <c r="C26" s="30" t="s">
        <v>2</v>
      </c>
      <c r="D26" s="30"/>
      <c r="E26" s="30"/>
      <c r="F26" s="30"/>
      <c r="G26" s="30"/>
      <c r="H26" s="30"/>
    </row>
    <row r="27" spans="2:8" ht="21.6" customHeight="1">
      <c r="B27" s="18" t="s">
        <v>3</v>
      </c>
      <c r="C27" s="24" t="s">
        <v>34</v>
      </c>
      <c r="D27" s="24"/>
      <c r="E27" s="24"/>
      <c r="F27" s="24"/>
      <c r="G27" s="24"/>
      <c r="H27" s="24"/>
    </row>
    <row r="28" spans="2:8" ht="21.6" customHeight="1">
      <c r="B28" s="24" t="s">
        <v>21</v>
      </c>
      <c r="C28" s="24"/>
      <c r="D28" s="24"/>
      <c r="E28" s="24"/>
      <c r="F28" s="24"/>
      <c r="G28" s="24"/>
      <c r="H28" s="24"/>
    </row>
    <row r="29" spans="2:8">
      <c r="B29" s="6" t="s">
        <v>6</v>
      </c>
      <c r="C29" s="6" t="s">
        <v>7</v>
      </c>
      <c r="D29" s="6" t="s">
        <v>8</v>
      </c>
      <c r="E29" s="6" t="s">
        <v>9</v>
      </c>
      <c r="F29" s="2" t="s">
        <v>76</v>
      </c>
      <c r="G29" s="2" t="s">
        <v>31</v>
      </c>
      <c r="H29" s="6" t="s">
        <v>39</v>
      </c>
    </row>
    <row r="30" spans="2:8" ht="37.200000000000003" customHeight="1">
      <c r="B30" s="7">
        <v>1</v>
      </c>
      <c r="C30" s="7">
        <v>1</v>
      </c>
      <c r="D30" s="7" t="s">
        <v>38</v>
      </c>
      <c r="E30" s="7" t="s">
        <v>23</v>
      </c>
      <c r="F30" s="7">
        <v>0</v>
      </c>
      <c r="G30" s="7">
        <v>0</v>
      </c>
      <c r="H30" s="13" t="s">
        <v>70</v>
      </c>
    </row>
    <row r="31" spans="2:8" ht="37.200000000000003" customHeight="1">
      <c r="B31" s="7">
        <v>2</v>
      </c>
      <c r="C31" s="7">
        <v>1</v>
      </c>
      <c r="D31" s="7" t="s">
        <v>40</v>
      </c>
      <c r="E31" s="7" t="s">
        <v>23</v>
      </c>
      <c r="F31" s="7">
        <v>0</v>
      </c>
      <c r="G31" s="7">
        <v>0</v>
      </c>
      <c r="H31" s="13" t="s">
        <v>71</v>
      </c>
    </row>
    <row r="32" spans="2:8" ht="37.200000000000003" customHeight="1">
      <c r="B32" s="7">
        <v>3</v>
      </c>
      <c r="C32" s="7"/>
      <c r="D32" s="4" t="s">
        <v>41</v>
      </c>
      <c r="E32" s="7" t="s">
        <v>23</v>
      </c>
      <c r="F32" s="7">
        <v>0</v>
      </c>
      <c r="G32" s="7">
        <v>0</v>
      </c>
      <c r="H32" s="13" t="s">
        <v>72</v>
      </c>
    </row>
    <row r="33" spans="2:9" ht="37.200000000000003" customHeight="1">
      <c r="B33" s="7">
        <v>4</v>
      </c>
      <c r="C33" s="7"/>
      <c r="D33" s="7" t="s">
        <v>42</v>
      </c>
      <c r="E33" s="7" t="s">
        <v>23</v>
      </c>
      <c r="F33" s="7">
        <v>0</v>
      </c>
      <c r="G33" s="7">
        <v>0</v>
      </c>
      <c r="H33" s="13" t="s">
        <v>73</v>
      </c>
    </row>
    <row r="34" spans="2:9" ht="37.200000000000003" customHeight="1">
      <c r="B34" s="7">
        <v>5</v>
      </c>
      <c r="C34" s="7">
        <v>1</v>
      </c>
      <c r="D34" s="7" t="s">
        <v>43</v>
      </c>
      <c r="E34" s="7" t="s">
        <v>23</v>
      </c>
      <c r="F34" s="7">
        <v>0</v>
      </c>
      <c r="G34" s="7">
        <v>0</v>
      </c>
      <c r="H34" s="13" t="s">
        <v>74</v>
      </c>
    </row>
    <row r="35" spans="2:9" ht="37.200000000000003" customHeight="1">
      <c r="B35" s="7">
        <v>6</v>
      </c>
      <c r="C35" s="7"/>
      <c r="D35" s="4" t="s">
        <v>44</v>
      </c>
      <c r="E35" s="7" t="s">
        <v>23</v>
      </c>
      <c r="F35" s="7">
        <v>0</v>
      </c>
      <c r="G35" s="7">
        <v>0</v>
      </c>
      <c r="H35" s="13" t="s">
        <v>75</v>
      </c>
    </row>
    <row r="36" spans="2:9" ht="37.200000000000003" customHeight="1">
      <c r="B36" s="7">
        <v>7</v>
      </c>
      <c r="C36" s="7">
        <v>1</v>
      </c>
      <c r="D36" s="7" t="s">
        <v>38</v>
      </c>
      <c r="E36" s="7" t="s">
        <v>23</v>
      </c>
      <c r="F36" s="7">
        <v>0</v>
      </c>
      <c r="G36" s="7">
        <v>0</v>
      </c>
      <c r="H36" s="13" t="s">
        <v>70</v>
      </c>
    </row>
    <row r="37" spans="2:9" ht="37.200000000000003" customHeight="1">
      <c r="B37" s="7">
        <v>8</v>
      </c>
      <c r="C37" s="7">
        <v>1</v>
      </c>
      <c r="D37" s="7" t="s">
        <v>45</v>
      </c>
      <c r="E37" s="7" t="s">
        <v>87</v>
      </c>
      <c r="F37" s="7">
        <v>280000</v>
      </c>
      <c r="G37" s="7"/>
      <c r="H37" s="7" t="s">
        <v>88</v>
      </c>
    </row>
    <row r="38" spans="2:9" ht="21.6" customHeight="1"/>
    <row r="39" spans="2:9">
      <c r="B39" s="29" t="s">
        <v>20</v>
      </c>
      <c r="C39" s="29"/>
      <c r="D39" s="29"/>
      <c r="E39" s="29"/>
      <c r="F39" s="29"/>
      <c r="G39" s="29"/>
      <c r="H39" s="29"/>
    </row>
    <row r="40" spans="2:9" ht="20.399999999999999" customHeight="1">
      <c r="B40" s="3" t="s">
        <v>1</v>
      </c>
      <c r="C40" s="26" t="s">
        <v>17</v>
      </c>
      <c r="D40" s="26"/>
      <c r="E40" s="26"/>
      <c r="F40" s="26"/>
      <c r="G40" s="26"/>
      <c r="H40" s="26"/>
    </row>
    <row r="41" spans="2:9" ht="20.399999999999999" customHeight="1">
      <c r="B41" s="3" t="s">
        <v>3</v>
      </c>
      <c r="C41" s="27" t="s">
        <v>5</v>
      </c>
      <c r="D41" s="27"/>
      <c r="E41" s="27"/>
      <c r="F41" s="27"/>
      <c r="G41" s="27"/>
      <c r="H41" s="27"/>
    </row>
    <row r="42" spans="2:9" ht="20.399999999999999" customHeight="1">
      <c r="B42" s="28" t="s">
        <v>21</v>
      </c>
      <c r="C42" s="28"/>
      <c r="D42" s="28"/>
      <c r="E42" s="28"/>
      <c r="F42" s="28"/>
      <c r="G42" s="28"/>
      <c r="H42" s="28"/>
    </row>
    <row r="43" spans="2:9">
      <c r="B43" s="6" t="s">
        <v>6</v>
      </c>
      <c r="C43" s="6" t="s">
        <v>7</v>
      </c>
      <c r="D43" s="6" t="s">
        <v>8</v>
      </c>
      <c r="E43" s="6" t="s">
        <v>9</v>
      </c>
      <c r="F43" s="2" t="s">
        <v>76</v>
      </c>
      <c r="G43" s="2" t="s">
        <v>31</v>
      </c>
      <c r="H43" s="6" t="s">
        <v>39</v>
      </c>
    </row>
    <row r="44" spans="2:9" ht="57.6" customHeight="1">
      <c r="B44" s="7">
        <v>1</v>
      </c>
      <c r="C44" s="7">
        <v>1</v>
      </c>
      <c r="D44" s="5" t="s">
        <v>46</v>
      </c>
      <c r="E44" s="7" t="s">
        <v>22</v>
      </c>
      <c r="F44" s="7">
        <v>0</v>
      </c>
      <c r="G44" s="7">
        <v>0</v>
      </c>
      <c r="H44" s="13" t="s">
        <v>67</v>
      </c>
    </row>
    <row r="45" spans="2:9" ht="57.6" customHeight="1">
      <c r="B45" s="7">
        <v>2</v>
      </c>
      <c r="C45" s="7">
        <v>1</v>
      </c>
      <c r="D45" s="7" t="s">
        <v>47</v>
      </c>
      <c r="E45" s="7" t="s">
        <v>22</v>
      </c>
      <c r="F45" s="7">
        <v>0</v>
      </c>
      <c r="G45" s="7">
        <v>0</v>
      </c>
      <c r="H45" s="13" t="s">
        <v>68</v>
      </c>
    </row>
    <row r="46" spans="2:9" ht="57.6" customHeight="1">
      <c r="B46" s="7">
        <v>3</v>
      </c>
      <c r="C46" s="7">
        <v>1</v>
      </c>
      <c r="D46" s="7" t="s">
        <v>48</v>
      </c>
      <c r="E46" s="7" t="s">
        <v>22</v>
      </c>
      <c r="F46" s="7">
        <v>0</v>
      </c>
      <c r="G46" s="7">
        <v>0</v>
      </c>
      <c r="H46" s="13" t="s">
        <v>69</v>
      </c>
    </row>
    <row r="47" spans="2:9" ht="57.6" customHeight="1">
      <c r="B47" s="8"/>
      <c r="C47" s="8"/>
      <c r="E47" s="8"/>
      <c r="F47" s="8"/>
      <c r="G47" s="8"/>
      <c r="H47" s="14"/>
    </row>
    <row r="48" spans="2:9" ht="24" customHeight="1">
      <c r="B48" s="19" t="s">
        <v>24</v>
      </c>
      <c r="C48" s="19"/>
      <c r="D48" s="19"/>
      <c r="E48" s="19"/>
      <c r="F48" s="19" t="s">
        <v>77</v>
      </c>
      <c r="G48" s="19" t="s">
        <v>78</v>
      </c>
      <c r="H48" s="19" t="s">
        <v>79</v>
      </c>
      <c r="I48" s="19" t="s">
        <v>85</v>
      </c>
    </row>
    <row r="49" spans="2:9" ht="24" customHeight="1">
      <c r="B49" s="20" t="s">
        <v>25</v>
      </c>
      <c r="C49" s="20"/>
      <c r="D49" s="20"/>
      <c r="E49" s="20"/>
      <c r="F49" s="19"/>
      <c r="G49" s="19"/>
      <c r="H49" s="19"/>
      <c r="I49" s="19"/>
    </row>
    <row r="50" spans="2:9" ht="34.799999999999997" customHeight="1">
      <c r="B50" s="24" t="s">
        <v>26</v>
      </c>
      <c r="C50" s="24"/>
      <c r="D50" s="24"/>
      <c r="E50" s="24"/>
      <c r="F50" s="16">
        <v>50000</v>
      </c>
      <c r="G50" s="16">
        <v>10</v>
      </c>
      <c r="H50" s="7">
        <v>0</v>
      </c>
      <c r="I50" s="13" t="s">
        <v>80</v>
      </c>
    </row>
    <row r="51" spans="2:9" ht="34.799999999999997" customHeight="1">
      <c r="B51" s="24" t="s">
        <v>27</v>
      </c>
      <c r="C51" s="24"/>
      <c r="D51" s="24"/>
      <c r="E51" s="24"/>
      <c r="F51" s="16">
        <v>70000</v>
      </c>
      <c r="G51" s="16">
        <v>50</v>
      </c>
      <c r="H51" s="7">
        <v>0</v>
      </c>
      <c r="I51" s="13" t="s">
        <v>81</v>
      </c>
    </row>
    <row r="52" spans="2:9" ht="34.799999999999997" customHeight="1">
      <c r="B52" s="24" t="s">
        <v>28</v>
      </c>
      <c r="C52" s="24"/>
      <c r="D52" s="24"/>
      <c r="E52" s="24"/>
      <c r="F52" s="16">
        <v>50000</v>
      </c>
      <c r="G52" s="16">
        <v>300</v>
      </c>
      <c r="H52" s="7">
        <v>0</v>
      </c>
      <c r="I52" s="13" t="s">
        <v>82</v>
      </c>
    </row>
    <row r="53" spans="2:9" ht="34.799999999999997" customHeight="1">
      <c r="B53" s="24" t="s">
        <v>29</v>
      </c>
      <c r="C53" s="24"/>
      <c r="D53" s="24"/>
      <c r="E53" s="24"/>
      <c r="F53" s="16"/>
      <c r="G53" s="16"/>
      <c r="H53" s="7">
        <v>0</v>
      </c>
      <c r="I53" s="13" t="s">
        <v>83</v>
      </c>
    </row>
    <row r="54" spans="2:9" ht="34.799999999999997" customHeight="1">
      <c r="B54" s="24" t="s">
        <v>30</v>
      </c>
      <c r="C54" s="24"/>
      <c r="D54" s="24"/>
      <c r="E54" s="24"/>
      <c r="F54" s="16">
        <v>30000</v>
      </c>
      <c r="G54" s="16">
        <v>3</v>
      </c>
      <c r="H54" s="7">
        <v>0</v>
      </c>
      <c r="I54" s="13" t="s">
        <v>84</v>
      </c>
    </row>
    <row r="55" spans="2:9" ht="34.799999999999997" customHeight="1">
      <c r="B55" s="24" t="s">
        <v>91</v>
      </c>
      <c r="C55" s="24"/>
      <c r="D55" s="24"/>
      <c r="E55" s="24"/>
      <c r="F55" s="16"/>
      <c r="G55" s="16"/>
      <c r="H55" s="7">
        <f>+SUM(G7:G13)</f>
        <v>5200000</v>
      </c>
      <c r="I55" s="13" t="s">
        <v>86</v>
      </c>
    </row>
    <row r="56" spans="2:9" ht="46.8" customHeight="1">
      <c r="B56" s="24" t="s">
        <v>89</v>
      </c>
      <c r="C56" s="24"/>
      <c r="D56" s="24"/>
      <c r="E56" s="24"/>
      <c r="F56" s="16"/>
      <c r="G56" s="16"/>
      <c r="H56" s="7">
        <v>280000</v>
      </c>
      <c r="I56" s="13" t="s">
        <v>90</v>
      </c>
    </row>
    <row r="57" spans="2:9" ht="34.799999999999997" customHeight="1">
      <c r="B57" s="20" t="s">
        <v>31</v>
      </c>
      <c r="C57" s="20"/>
      <c r="D57" s="20"/>
      <c r="E57" s="20"/>
      <c r="F57" s="20"/>
      <c r="G57" s="20"/>
      <c r="H57" s="7">
        <f>+SUM(H55:H56)</f>
        <v>5480000</v>
      </c>
      <c r="I57" s="10"/>
    </row>
    <row r="58" spans="2:9" ht="40.799999999999997" customHeight="1"/>
    <row r="59" spans="2:9" ht="39.6" customHeight="1">
      <c r="B59" s="19" t="s">
        <v>32</v>
      </c>
      <c r="C59" s="19"/>
      <c r="D59" s="19"/>
      <c r="E59" s="19"/>
      <c r="F59" s="21" t="s">
        <v>77</v>
      </c>
      <c r="G59" s="21" t="s">
        <v>78</v>
      </c>
      <c r="H59" s="21" t="s">
        <v>79</v>
      </c>
      <c r="I59" s="21" t="s">
        <v>85</v>
      </c>
    </row>
    <row r="60" spans="2:9" ht="27.6" customHeight="1">
      <c r="B60" s="23" t="s">
        <v>25</v>
      </c>
      <c r="C60" s="23"/>
      <c r="D60" s="23"/>
      <c r="E60" s="23"/>
      <c r="F60" s="22"/>
      <c r="G60" s="22"/>
      <c r="H60" s="22"/>
      <c r="I60" s="22"/>
    </row>
    <row r="61" spans="2:9" ht="39.6" customHeight="1">
      <c r="B61" s="24" t="s">
        <v>33</v>
      </c>
      <c r="C61" s="24"/>
      <c r="D61" s="24"/>
      <c r="E61" s="24"/>
      <c r="F61" s="15"/>
      <c r="G61" s="15"/>
      <c r="H61" s="7">
        <v>100000</v>
      </c>
      <c r="I61" s="4" t="s">
        <v>92</v>
      </c>
    </row>
    <row r="62" spans="2:9">
      <c r="B62" s="9"/>
      <c r="C62" s="9"/>
      <c r="E62" s="9"/>
      <c r="F62" s="9"/>
      <c r="G62" s="9"/>
    </row>
    <row r="67" spans="2:9">
      <c r="B67" s="25" t="s">
        <v>0</v>
      </c>
      <c r="C67" s="25"/>
      <c r="D67" s="25"/>
      <c r="E67" s="25"/>
      <c r="F67" s="25"/>
      <c r="G67" s="25"/>
      <c r="H67" s="25"/>
      <c r="I67" s="8"/>
    </row>
    <row r="68" spans="2:9">
      <c r="B68" s="17" t="s">
        <v>1</v>
      </c>
      <c r="C68" s="30" t="s">
        <v>2</v>
      </c>
      <c r="D68" s="30"/>
      <c r="E68" s="30"/>
      <c r="F68" s="30"/>
      <c r="G68" s="30"/>
      <c r="H68" s="30"/>
      <c r="I68" s="8"/>
    </row>
    <row r="69" spans="2:9">
      <c r="B69" s="17" t="s">
        <v>3</v>
      </c>
      <c r="C69" s="24" t="s">
        <v>34</v>
      </c>
      <c r="D69" s="24"/>
      <c r="E69" s="24"/>
      <c r="F69" s="24"/>
      <c r="G69" s="24"/>
      <c r="H69" s="24"/>
      <c r="I69" s="8"/>
    </row>
    <row r="70" spans="2:9">
      <c r="B70" s="24" t="s">
        <v>4</v>
      </c>
      <c r="C70" s="24"/>
      <c r="D70" s="24"/>
      <c r="E70" s="24"/>
      <c r="F70" s="24"/>
      <c r="G70" s="24"/>
      <c r="H70" s="24"/>
    </row>
    <row r="71" spans="2:9">
      <c r="B71" s="2" t="s">
        <v>6</v>
      </c>
      <c r="C71" s="2" t="s">
        <v>7</v>
      </c>
      <c r="D71" s="6" t="s">
        <v>8</v>
      </c>
      <c r="E71" s="2" t="s">
        <v>9</v>
      </c>
      <c r="F71" s="2" t="s">
        <v>76</v>
      </c>
      <c r="G71" s="2" t="s">
        <v>31</v>
      </c>
      <c r="H71" s="6" t="s">
        <v>50</v>
      </c>
    </row>
    <row r="72" spans="2:9">
      <c r="B72" s="1">
        <v>1</v>
      </c>
      <c r="C72" s="1">
        <v>1</v>
      </c>
      <c r="D72" s="7" t="s">
        <v>35</v>
      </c>
      <c r="E72" s="7" t="s">
        <v>36</v>
      </c>
      <c r="F72" s="1">
        <v>3000000</v>
      </c>
      <c r="G72" s="1">
        <v>3000000</v>
      </c>
      <c r="H72" s="12" t="s">
        <v>49</v>
      </c>
    </row>
    <row r="73" spans="2:9">
      <c r="B73" s="1">
        <v>2</v>
      </c>
      <c r="C73" s="1">
        <v>1</v>
      </c>
      <c r="D73" s="7" t="s">
        <v>12</v>
      </c>
      <c r="E73" s="7" t="s">
        <v>37</v>
      </c>
      <c r="F73" s="1">
        <v>0</v>
      </c>
      <c r="G73" s="1">
        <v>0</v>
      </c>
      <c r="H73" s="12" t="s">
        <v>51</v>
      </c>
    </row>
    <row r="74" spans="2:9">
      <c r="B74" s="1">
        <v>3</v>
      </c>
      <c r="C74" s="1">
        <v>1</v>
      </c>
      <c r="D74" s="7" t="s">
        <v>13</v>
      </c>
      <c r="E74" s="7" t="s">
        <v>14</v>
      </c>
      <c r="F74" s="1">
        <v>0</v>
      </c>
      <c r="G74" s="1">
        <v>0</v>
      </c>
      <c r="H74" s="12" t="s">
        <v>52</v>
      </c>
    </row>
    <row r="75" spans="2:9">
      <c r="B75" s="1">
        <v>4</v>
      </c>
      <c r="C75" s="1">
        <v>1</v>
      </c>
      <c r="D75" s="7" t="s">
        <v>15</v>
      </c>
      <c r="E75" s="7" t="s">
        <v>16</v>
      </c>
      <c r="F75" s="1">
        <v>0</v>
      </c>
      <c r="G75" s="1">
        <v>0</v>
      </c>
      <c r="H75" s="13" t="s">
        <v>53</v>
      </c>
    </row>
    <row r="76" spans="2:9">
      <c r="B76" s="1">
        <v>5</v>
      </c>
      <c r="C76" s="1">
        <v>1</v>
      </c>
      <c r="D76" s="7" t="s">
        <v>54</v>
      </c>
      <c r="E76" s="7" t="s">
        <v>55</v>
      </c>
      <c r="F76" s="1">
        <v>600000</v>
      </c>
      <c r="G76" s="1">
        <v>600000</v>
      </c>
      <c r="H76" s="13" t="s">
        <v>59</v>
      </c>
    </row>
    <row r="77" spans="2:9">
      <c r="B77" s="1">
        <v>6</v>
      </c>
      <c r="C77" s="1">
        <v>1</v>
      </c>
      <c r="D77" s="7" t="s">
        <v>56</v>
      </c>
      <c r="E77" s="7" t="s">
        <v>57</v>
      </c>
      <c r="F77" s="1">
        <v>400000</v>
      </c>
      <c r="G77" s="1">
        <v>400000</v>
      </c>
      <c r="H77" s="12" t="s">
        <v>58</v>
      </c>
    </row>
    <row r="78" spans="2:9">
      <c r="B78" s="1">
        <v>7</v>
      </c>
      <c r="C78" s="1">
        <v>1</v>
      </c>
      <c r="D78" s="7" t="s">
        <v>64</v>
      </c>
      <c r="E78" s="7" t="s">
        <v>65</v>
      </c>
      <c r="F78" s="1">
        <v>1200000</v>
      </c>
      <c r="G78" s="1">
        <v>1200000</v>
      </c>
      <c r="H78" s="12" t="s">
        <v>66</v>
      </c>
    </row>
    <row r="79" spans="2:9" s="8" customFormat="1" ht="56.4" customHeight="1">
      <c r="B79" s="32">
        <v>8</v>
      </c>
      <c r="C79" s="32">
        <v>1</v>
      </c>
      <c r="D79" s="8" t="s">
        <v>93</v>
      </c>
      <c r="E79" s="4" t="s">
        <v>94</v>
      </c>
      <c r="F79" s="32">
        <v>400000</v>
      </c>
      <c r="G79" s="32">
        <v>400000</v>
      </c>
      <c r="H79" s="14" t="s">
        <v>95</v>
      </c>
    </row>
    <row r="80" spans="2:9">
      <c r="B80" s="31"/>
      <c r="C80" s="31"/>
      <c r="D80" s="32"/>
      <c r="E80" s="31"/>
      <c r="F80" s="31"/>
      <c r="G80" s="31"/>
      <c r="H80" s="33"/>
    </row>
    <row r="81" spans="2:8">
      <c r="B81" s="31"/>
      <c r="C81" s="31"/>
      <c r="D81" s="32"/>
      <c r="E81" s="31"/>
      <c r="F81" s="31"/>
      <c r="G81" s="31"/>
      <c r="H81" s="33"/>
    </row>
    <row r="83" spans="2:8">
      <c r="B83" s="25" t="s">
        <v>0</v>
      </c>
      <c r="C83" s="25"/>
      <c r="D83" s="25"/>
      <c r="E83" s="25"/>
      <c r="F83" s="25"/>
      <c r="G83" s="25"/>
      <c r="H83" s="25"/>
    </row>
    <row r="84" spans="2:8">
      <c r="B84" s="18" t="s">
        <v>1</v>
      </c>
      <c r="C84" s="26" t="s">
        <v>17</v>
      </c>
      <c r="D84" s="26"/>
      <c r="E84" s="26"/>
      <c r="F84" s="26"/>
      <c r="G84" s="26"/>
      <c r="H84" s="26"/>
    </row>
    <row r="85" spans="2:8">
      <c r="B85" s="18" t="s">
        <v>3</v>
      </c>
      <c r="C85" s="24" t="s">
        <v>34</v>
      </c>
      <c r="D85" s="24"/>
      <c r="E85" s="24"/>
      <c r="F85" s="24"/>
      <c r="G85" s="24"/>
      <c r="H85" s="24"/>
    </row>
    <row r="86" spans="2:8">
      <c r="B86" s="24" t="s">
        <v>4</v>
      </c>
      <c r="C86" s="24"/>
      <c r="D86" s="24"/>
      <c r="E86" s="24"/>
      <c r="F86" s="24"/>
      <c r="G86" s="24"/>
      <c r="H86" s="24"/>
    </row>
    <row r="87" spans="2:8">
      <c r="B87" s="2" t="s">
        <v>6</v>
      </c>
      <c r="C87" s="2" t="s">
        <v>7</v>
      </c>
      <c r="D87" s="6" t="s">
        <v>8</v>
      </c>
      <c r="E87" s="2" t="s">
        <v>9</v>
      </c>
      <c r="F87" s="2" t="s">
        <v>76</v>
      </c>
      <c r="G87" s="2" t="s">
        <v>31</v>
      </c>
      <c r="H87" s="6" t="s">
        <v>39</v>
      </c>
    </row>
    <row r="88" spans="2:8" ht="28.8">
      <c r="B88" s="7">
        <v>1</v>
      </c>
      <c r="C88" s="7">
        <v>1</v>
      </c>
      <c r="D88" s="7" t="s">
        <v>10</v>
      </c>
      <c r="E88" s="7" t="s">
        <v>11</v>
      </c>
      <c r="F88" s="7">
        <v>0</v>
      </c>
      <c r="G88" s="7">
        <v>0</v>
      </c>
      <c r="H88" s="13" t="s">
        <v>60</v>
      </c>
    </row>
    <row r="89" spans="2:8" ht="28.8">
      <c r="B89" s="7">
        <v>2</v>
      </c>
      <c r="C89" s="7">
        <v>1</v>
      </c>
      <c r="D89" s="7" t="s">
        <v>12</v>
      </c>
      <c r="E89" s="7" t="s">
        <v>18</v>
      </c>
      <c r="F89" s="7">
        <v>0</v>
      </c>
      <c r="G89" s="7">
        <v>0</v>
      </c>
      <c r="H89" s="13" t="s">
        <v>63</v>
      </c>
    </row>
    <row r="90" spans="2:8">
      <c r="B90" s="7">
        <v>3</v>
      </c>
      <c r="C90" s="7">
        <v>1</v>
      </c>
      <c r="D90" s="7" t="s">
        <v>13</v>
      </c>
      <c r="E90" s="7" t="s">
        <v>14</v>
      </c>
      <c r="F90" s="7">
        <v>0</v>
      </c>
      <c r="G90" s="7">
        <v>0</v>
      </c>
      <c r="H90" s="13" t="s">
        <v>62</v>
      </c>
    </row>
    <row r="91" spans="2:8" ht="28.8">
      <c r="B91" s="7">
        <v>4</v>
      </c>
      <c r="C91" s="7">
        <v>1</v>
      </c>
      <c r="D91" s="7" t="s">
        <v>15</v>
      </c>
      <c r="E91" s="7" t="s">
        <v>19</v>
      </c>
      <c r="F91" s="7">
        <v>0</v>
      </c>
      <c r="G91" s="7">
        <v>0</v>
      </c>
      <c r="H91" s="13" t="s">
        <v>61</v>
      </c>
    </row>
    <row r="93" spans="2:8">
      <c r="B93" s="25" t="s">
        <v>20</v>
      </c>
      <c r="C93" s="25"/>
      <c r="D93" s="25"/>
      <c r="E93" s="25"/>
      <c r="F93" s="25"/>
      <c r="G93" s="25"/>
      <c r="H93" s="25"/>
    </row>
    <row r="94" spans="2:8">
      <c r="B94" s="18" t="s">
        <v>1</v>
      </c>
      <c r="C94" s="30" t="s">
        <v>2</v>
      </c>
      <c r="D94" s="30"/>
      <c r="E94" s="30"/>
      <c r="F94" s="30"/>
      <c r="G94" s="30"/>
      <c r="H94" s="30"/>
    </row>
    <row r="95" spans="2:8">
      <c r="B95" s="18" t="s">
        <v>3</v>
      </c>
      <c r="C95" s="24" t="s">
        <v>34</v>
      </c>
      <c r="D95" s="24"/>
      <c r="E95" s="24"/>
      <c r="F95" s="24"/>
      <c r="G95" s="24"/>
      <c r="H95" s="24"/>
    </row>
    <row r="96" spans="2:8">
      <c r="B96" s="24" t="s">
        <v>21</v>
      </c>
      <c r="C96" s="24"/>
      <c r="D96" s="24"/>
      <c r="E96" s="24"/>
      <c r="F96" s="24"/>
      <c r="G96" s="24"/>
      <c r="H96" s="24"/>
    </row>
    <row r="97" spans="2:8">
      <c r="B97" s="6" t="s">
        <v>6</v>
      </c>
      <c r="C97" s="6" t="s">
        <v>7</v>
      </c>
      <c r="D97" s="6" t="s">
        <v>8</v>
      </c>
      <c r="E97" s="6" t="s">
        <v>9</v>
      </c>
      <c r="F97" s="2" t="s">
        <v>76</v>
      </c>
      <c r="G97" s="2" t="s">
        <v>31</v>
      </c>
      <c r="H97" s="6" t="s">
        <v>39</v>
      </c>
    </row>
    <row r="98" spans="2:8" ht="28.8">
      <c r="B98" s="7">
        <v>1</v>
      </c>
      <c r="C98" s="7">
        <v>1</v>
      </c>
      <c r="D98" s="7" t="s">
        <v>38</v>
      </c>
      <c r="E98" s="7" t="s">
        <v>23</v>
      </c>
      <c r="F98" s="7">
        <v>0</v>
      </c>
      <c r="G98" s="7">
        <v>0</v>
      </c>
      <c r="H98" s="13" t="s">
        <v>70</v>
      </c>
    </row>
    <row r="99" spans="2:8">
      <c r="B99" s="7">
        <v>2</v>
      </c>
      <c r="C99" s="7">
        <v>1</v>
      </c>
      <c r="D99" s="7" t="s">
        <v>40</v>
      </c>
      <c r="E99" s="7" t="s">
        <v>23</v>
      </c>
      <c r="F99" s="7">
        <v>0</v>
      </c>
      <c r="G99" s="7">
        <v>0</v>
      </c>
      <c r="H99" s="13" t="s">
        <v>71</v>
      </c>
    </row>
    <row r="100" spans="2:8" ht="28.8">
      <c r="B100" s="7">
        <v>3</v>
      </c>
      <c r="C100" s="7"/>
      <c r="D100" s="4" t="s">
        <v>41</v>
      </c>
      <c r="E100" s="7" t="s">
        <v>23</v>
      </c>
      <c r="F100" s="7">
        <v>0</v>
      </c>
      <c r="G100" s="7">
        <v>0</v>
      </c>
      <c r="H100" s="13" t="s">
        <v>72</v>
      </c>
    </row>
    <row r="101" spans="2:8" ht="28.8">
      <c r="B101" s="7">
        <v>4</v>
      </c>
      <c r="C101" s="7"/>
      <c r="D101" s="7" t="s">
        <v>42</v>
      </c>
      <c r="E101" s="7" t="s">
        <v>23</v>
      </c>
      <c r="F101" s="7">
        <v>0</v>
      </c>
      <c r="G101" s="7">
        <v>0</v>
      </c>
      <c r="H101" s="13" t="s">
        <v>73</v>
      </c>
    </row>
    <row r="102" spans="2:8" ht="28.8">
      <c r="B102" s="7">
        <v>5</v>
      </c>
      <c r="C102" s="7">
        <v>1</v>
      </c>
      <c r="D102" s="7" t="s">
        <v>43</v>
      </c>
      <c r="E102" s="7" t="s">
        <v>23</v>
      </c>
      <c r="F102" s="7">
        <v>0</v>
      </c>
      <c r="G102" s="7">
        <v>0</v>
      </c>
      <c r="H102" s="13" t="s">
        <v>74</v>
      </c>
    </row>
    <row r="103" spans="2:8" ht="28.8">
      <c r="B103" s="7">
        <v>6</v>
      </c>
      <c r="C103" s="7"/>
      <c r="D103" s="4" t="s">
        <v>44</v>
      </c>
      <c r="E103" s="7" t="s">
        <v>23</v>
      </c>
      <c r="F103" s="7">
        <v>0</v>
      </c>
      <c r="G103" s="7">
        <v>0</v>
      </c>
      <c r="H103" s="13" t="s">
        <v>75</v>
      </c>
    </row>
    <row r="104" spans="2:8" ht="28.8">
      <c r="B104" s="7">
        <v>7</v>
      </c>
      <c r="C104" s="7">
        <v>1</v>
      </c>
      <c r="D104" s="7" t="s">
        <v>38</v>
      </c>
      <c r="E104" s="7" t="s">
        <v>23</v>
      </c>
      <c r="F104" s="7">
        <v>0</v>
      </c>
      <c r="G104" s="7">
        <v>0</v>
      </c>
      <c r="H104" s="13" t="s">
        <v>70</v>
      </c>
    </row>
    <row r="105" spans="2:8">
      <c r="B105" s="7">
        <v>8</v>
      </c>
      <c r="C105" s="7">
        <v>1</v>
      </c>
      <c r="D105" s="7" t="s">
        <v>45</v>
      </c>
      <c r="E105" s="7" t="s">
        <v>87</v>
      </c>
      <c r="F105" s="7">
        <v>280000</v>
      </c>
      <c r="G105" s="7"/>
      <c r="H105" s="7" t="s">
        <v>88</v>
      </c>
    </row>
    <row r="107" spans="2:8">
      <c r="B107" s="29" t="s">
        <v>20</v>
      </c>
      <c r="C107" s="29"/>
      <c r="D107" s="29"/>
      <c r="E107" s="29"/>
      <c r="F107" s="29"/>
      <c r="G107" s="29"/>
      <c r="H107" s="29"/>
    </row>
    <row r="108" spans="2:8">
      <c r="B108" s="3" t="s">
        <v>1</v>
      </c>
      <c r="C108" s="26" t="s">
        <v>17</v>
      </c>
      <c r="D108" s="26"/>
      <c r="E108" s="26"/>
      <c r="F108" s="26"/>
      <c r="G108" s="26"/>
      <c r="H108" s="26"/>
    </row>
    <row r="109" spans="2:8">
      <c r="B109" s="3" t="s">
        <v>3</v>
      </c>
      <c r="C109" s="27" t="s">
        <v>5</v>
      </c>
      <c r="D109" s="27"/>
      <c r="E109" s="27"/>
      <c r="F109" s="27"/>
      <c r="G109" s="27"/>
      <c r="H109" s="27"/>
    </row>
    <row r="110" spans="2:8">
      <c r="B110" s="28" t="s">
        <v>21</v>
      </c>
      <c r="C110" s="28"/>
      <c r="D110" s="28"/>
      <c r="E110" s="28"/>
      <c r="F110" s="28"/>
      <c r="G110" s="28"/>
      <c r="H110" s="28"/>
    </row>
    <row r="111" spans="2:8">
      <c r="B111" s="6" t="s">
        <v>6</v>
      </c>
      <c r="C111" s="6" t="s">
        <v>7</v>
      </c>
      <c r="D111" s="6" t="s">
        <v>8</v>
      </c>
      <c r="E111" s="6" t="s">
        <v>9</v>
      </c>
      <c r="F111" s="2" t="s">
        <v>76</v>
      </c>
      <c r="G111" s="2" t="s">
        <v>31</v>
      </c>
      <c r="H111" s="6" t="s">
        <v>39</v>
      </c>
    </row>
    <row r="112" spans="2:8" ht="43.2">
      <c r="B112" s="7">
        <v>1</v>
      </c>
      <c r="C112" s="7">
        <v>1</v>
      </c>
      <c r="D112" s="5" t="s">
        <v>46</v>
      </c>
      <c r="E112" s="7" t="s">
        <v>22</v>
      </c>
      <c r="F112" s="7">
        <v>0</v>
      </c>
      <c r="G112" s="7">
        <v>0</v>
      </c>
      <c r="H112" s="13" t="s">
        <v>67</v>
      </c>
    </row>
    <row r="113" spans="2:9" ht="28.8">
      <c r="B113" s="7">
        <v>2</v>
      </c>
      <c r="C113" s="7">
        <v>1</v>
      </c>
      <c r="D113" s="7" t="s">
        <v>47</v>
      </c>
      <c r="E113" s="7" t="s">
        <v>22</v>
      </c>
      <c r="F113" s="7">
        <v>0</v>
      </c>
      <c r="G113" s="7">
        <v>0</v>
      </c>
      <c r="H113" s="13" t="s">
        <v>68</v>
      </c>
    </row>
    <row r="114" spans="2:9" ht="43.2">
      <c r="B114" s="7">
        <v>3</v>
      </c>
      <c r="C114" s="7">
        <v>1</v>
      </c>
      <c r="D114" s="7" t="s">
        <v>48</v>
      </c>
      <c r="E114" s="7" t="s">
        <v>22</v>
      </c>
      <c r="F114" s="7">
        <v>0</v>
      </c>
      <c r="G114" s="7">
        <v>0</v>
      </c>
      <c r="H114" s="13" t="s">
        <v>69</v>
      </c>
    </row>
    <row r="115" spans="2:9">
      <c r="B115" s="8"/>
      <c r="C115" s="8"/>
      <c r="E115" s="8"/>
      <c r="F115" s="8"/>
      <c r="G115" s="8"/>
      <c r="H115" s="14"/>
    </row>
    <row r="116" spans="2:9" ht="15.6">
      <c r="B116" s="19" t="s">
        <v>24</v>
      </c>
      <c r="C116" s="19"/>
      <c r="D116" s="19"/>
      <c r="E116" s="19"/>
      <c r="F116" s="19" t="s">
        <v>77</v>
      </c>
      <c r="G116" s="19" t="s">
        <v>78</v>
      </c>
      <c r="H116" s="19" t="s">
        <v>79</v>
      </c>
      <c r="I116" s="19" t="s">
        <v>85</v>
      </c>
    </row>
    <row r="117" spans="2:9" ht="15.6">
      <c r="B117" s="20" t="s">
        <v>25</v>
      </c>
      <c r="C117" s="20"/>
      <c r="D117" s="20"/>
      <c r="E117" s="20"/>
      <c r="F117" s="19"/>
      <c r="G117" s="19"/>
      <c r="H117" s="19"/>
      <c r="I117" s="19"/>
    </row>
    <row r="118" spans="2:9" ht="28.8">
      <c r="B118" s="24" t="s">
        <v>26</v>
      </c>
      <c r="C118" s="24"/>
      <c r="D118" s="24"/>
      <c r="E118" s="24"/>
      <c r="F118" s="16">
        <v>50000</v>
      </c>
      <c r="G118" s="16">
        <v>10</v>
      </c>
      <c r="H118" s="7">
        <v>0</v>
      </c>
      <c r="I118" s="13" t="s">
        <v>80</v>
      </c>
    </row>
    <row r="119" spans="2:9">
      <c r="B119" s="24" t="s">
        <v>27</v>
      </c>
      <c r="C119" s="24"/>
      <c r="D119" s="24"/>
      <c r="E119" s="24"/>
      <c r="F119" s="16">
        <v>70000</v>
      </c>
      <c r="G119" s="16">
        <v>50</v>
      </c>
      <c r="H119" s="7">
        <v>0</v>
      </c>
      <c r="I119" s="13" t="s">
        <v>81</v>
      </c>
    </row>
    <row r="120" spans="2:9" ht="28.8">
      <c r="B120" s="24" t="s">
        <v>28</v>
      </c>
      <c r="C120" s="24"/>
      <c r="D120" s="24"/>
      <c r="E120" s="24"/>
      <c r="F120" s="16">
        <v>50000</v>
      </c>
      <c r="G120" s="16">
        <v>300</v>
      </c>
      <c r="H120" s="7">
        <v>0</v>
      </c>
      <c r="I120" s="13" t="s">
        <v>82</v>
      </c>
    </row>
    <row r="121" spans="2:9" ht="28.8">
      <c r="B121" s="24" t="s">
        <v>29</v>
      </c>
      <c r="C121" s="24"/>
      <c r="D121" s="24"/>
      <c r="E121" s="24"/>
      <c r="F121" s="16"/>
      <c r="G121" s="16"/>
      <c r="H121" s="7">
        <v>0</v>
      </c>
      <c r="I121" s="13" t="s">
        <v>83</v>
      </c>
    </row>
    <row r="122" spans="2:9" ht="28.8">
      <c r="B122" s="24" t="s">
        <v>30</v>
      </c>
      <c r="C122" s="24"/>
      <c r="D122" s="24"/>
      <c r="E122" s="24"/>
      <c r="F122" s="16">
        <v>30000</v>
      </c>
      <c r="G122" s="16">
        <v>3</v>
      </c>
      <c r="H122" s="7">
        <v>0</v>
      </c>
      <c r="I122" s="13" t="s">
        <v>84</v>
      </c>
    </row>
    <row r="123" spans="2:9" ht="28.8">
      <c r="B123" s="24" t="s">
        <v>91</v>
      </c>
      <c r="C123" s="24"/>
      <c r="D123" s="24"/>
      <c r="E123" s="24"/>
      <c r="F123" s="16"/>
      <c r="G123" s="16"/>
      <c r="H123" s="7">
        <f>+SUM(G72:G78)</f>
        <v>5200000</v>
      </c>
      <c r="I123" s="13" t="s">
        <v>86</v>
      </c>
    </row>
    <row r="124" spans="2:9" ht="28.8">
      <c r="B124" s="24" t="s">
        <v>89</v>
      </c>
      <c r="C124" s="24"/>
      <c r="D124" s="24"/>
      <c r="E124" s="24"/>
      <c r="F124" s="16"/>
      <c r="G124" s="16"/>
      <c r="H124" s="7">
        <v>280000</v>
      </c>
      <c r="I124" s="13" t="s">
        <v>90</v>
      </c>
    </row>
    <row r="125" spans="2:9" ht="15.6">
      <c r="B125" s="20" t="s">
        <v>31</v>
      </c>
      <c r="C125" s="20"/>
      <c r="D125" s="20"/>
      <c r="E125" s="20"/>
      <c r="F125" s="20"/>
      <c r="G125" s="20"/>
      <c r="H125" s="7">
        <f>+SUM(H123:H124)</f>
        <v>5480000</v>
      </c>
      <c r="I125" s="10"/>
    </row>
    <row r="127" spans="2:9" ht="15.6">
      <c r="B127" s="19" t="s">
        <v>32</v>
      </c>
      <c r="C127" s="19"/>
      <c r="D127" s="19"/>
      <c r="E127" s="19"/>
      <c r="F127" s="21" t="s">
        <v>77</v>
      </c>
      <c r="G127" s="21" t="s">
        <v>78</v>
      </c>
      <c r="H127" s="21" t="s">
        <v>79</v>
      </c>
      <c r="I127" s="21" t="s">
        <v>85</v>
      </c>
    </row>
    <row r="128" spans="2:9">
      <c r="B128" s="23" t="s">
        <v>25</v>
      </c>
      <c r="C128" s="23"/>
      <c r="D128" s="23"/>
      <c r="E128" s="23"/>
      <c r="F128" s="22"/>
      <c r="G128" s="22"/>
      <c r="H128" s="22"/>
      <c r="I128" s="22"/>
    </row>
    <row r="129" spans="2:9" ht="28.8">
      <c r="B129" s="24" t="s">
        <v>33</v>
      </c>
      <c r="C129" s="24"/>
      <c r="D129" s="24"/>
      <c r="E129" s="24"/>
      <c r="F129" s="15"/>
      <c r="G129" s="15"/>
      <c r="H129" s="7">
        <v>100000</v>
      </c>
      <c r="I129" s="4" t="s">
        <v>92</v>
      </c>
    </row>
  </sheetData>
  <mergeCells count="76">
    <mergeCell ref="I127:I128"/>
    <mergeCell ref="B128:E128"/>
    <mergeCell ref="B129:E129"/>
    <mergeCell ref="F125:G125"/>
    <mergeCell ref="B127:E127"/>
    <mergeCell ref="F127:F128"/>
    <mergeCell ref="G127:G128"/>
    <mergeCell ref="H127:H128"/>
    <mergeCell ref="B121:E121"/>
    <mergeCell ref="B122:E122"/>
    <mergeCell ref="B123:E123"/>
    <mergeCell ref="B124:E124"/>
    <mergeCell ref="B125:E125"/>
    <mergeCell ref="I116:I117"/>
    <mergeCell ref="B117:E117"/>
    <mergeCell ref="B118:E118"/>
    <mergeCell ref="B119:E119"/>
    <mergeCell ref="B120:E120"/>
    <mergeCell ref="B110:H110"/>
    <mergeCell ref="B116:E116"/>
    <mergeCell ref="F116:F117"/>
    <mergeCell ref="G116:G117"/>
    <mergeCell ref="H116:H117"/>
    <mergeCell ref="C95:H95"/>
    <mergeCell ref="B96:H96"/>
    <mergeCell ref="B107:H107"/>
    <mergeCell ref="C108:H108"/>
    <mergeCell ref="C109:H109"/>
    <mergeCell ref="C84:H84"/>
    <mergeCell ref="C85:H85"/>
    <mergeCell ref="B86:H86"/>
    <mergeCell ref="B93:H93"/>
    <mergeCell ref="C94:H94"/>
    <mergeCell ref="B67:H67"/>
    <mergeCell ref="C68:H68"/>
    <mergeCell ref="C69:H69"/>
    <mergeCell ref="B70:H70"/>
    <mergeCell ref="B83:H83"/>
    <mergeCell ref="C41:H41"/>
    <mergeCell ref="B42:H42"/>
    <mergeCell ref="C27:H27"/>
    <mergeCell ref="B28:H28"/>
    <mergeCell ref="B39:H39"/>
    <mergeCell ref="C40:H40"/>
    <mergeCell ref="B61:E61"/>
    <mergeCell ref="B2:H2"/>
    <mergeCell ref="C4:H4"/>
    <mergeCell ref="C3:H3"/>
    <mergeCell ref="B5:H5"/>
    <mergeCell ref="B15:H15"/>
    <mergeCell ref="C16:H16"/>
    <mergeCell ref="C17:H17"/>
    <mergeCell ref="B18:H18"/>
    <mergeCell ref="B25:H25"/>
    <mergeCell ref="C26:H26"/>
    <mergeCell ref="B51:E51"/>
    <mergeCell ref="B52:E52"/>
    <mergeCell ref="B53:E53"/>
    <mergeCell ref="B54:E54"/>
    <mergeCell ref="B56:E56"/>
    <mergeCell ref="I48:I49"/>
    <mergeCell ref="B57:E57"/>
    <mergeCell ref="F57:G57"/>
    <mergeCell ref="I59:I60"/>
    <mergeCell ref="F59:F60"/>
    <mergeCell ref="G59:G60"/>
    <mergeCell ref="H59:H60"/>
    <mergeCell ref="F48:F49"/>
    <mergeCell ref="G48:G49"/>
    <mergeCell ref="H48:H49"/>
    <mergeCell ref="B59:E59"/>
    <mergeCell ref="B60:E60"/>
    <mergeCell ref="B55:E55"/>
    <mergeCell ref="B48:E48"/>
    <mergeCell ref="B50:E50"/>
    <mergeCell ref="B49:E49"/>
  </mergeCells>
  <pageMargins left="0.7" right="0.7" top="0.75" bottom="0.75" header="0.3" footer="0.3"/>
  <pageSetup paperSize="9" orientation="portrait" horizontalDpi="4294967292"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ARNALDO MONTIEL BRUN</dc:creator>
  <cp:lastModifiedBy>GERSON JONNATHAN LOPEZ OVIEDO</cp:lastModifiedBy>
  <cp:lastPrinted>2025-08-17T04:04:20Z</cp:lastPrinted>
  <dcterms:created xsi:type="dcterms:W3CDTF">2025-08-12T19:57:35Z</dcterms:created>
  <dcterms:modified xsi:type="dcterms:W3CDTF">2025-08-24T21:42:01Z</dcterms:modified>
</cp:coreProperties>
</file>